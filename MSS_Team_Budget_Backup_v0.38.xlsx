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276a879c94e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e2cb8f2eebb4655"/>
    <x:sheet xmlns:r="http://schemas.openxmlformats.org/officeDocument/2006/relationships" name="Monthly Budget" sheetId="2" r:id="R94dcc1dc5ac94e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ACC15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FFFFFF"/>
      </x:font>
      <x:fill>
        <x:patternFill patternType="solid">
          <x:bgColor rgb="FF111827"/>
        </x:patternFill>
      </x:fill>
    </x:dxf>
    <x:dxf>
      <x:font>
        <x:b/>
        <x:color rgb="FF111827"/>
      </x:font>
      <x:fill>
        <x:patternFill patternType="solid">
          <x:bgColor rgb="FFFACC15"/>
        </x:patternFill>
      </x:fill>
    </x:dxf>
    <x:dxf>
      <x:font>
        <x:b/>
        <x:color rgb="FF991B1B"/>
      </x:font>
      <x:fill>
        <x:patternFill patternType="solid">
          <x:bgColor rgb="FFFCA5A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c3354024104ca3" /><Relationship Type="http://schemas.openxmlformats.org/officeDocument/2006/relationships/theme" Target="/xl/theme/theme1.xml" Id="R12f70a0a193b4470" /><Relationship Type="http://schemas.openxmlformats.org/officeDocument/2006/relationships/sharedStrings" Target="/xl/sharedStrings.xml" Id="R49230d58246c4e30" /><Relationship Type="http://schemas.openxmlformats.org/officeDocument/2006/relationships/worksheet" Target="/xl/worksheets/sheet1.xml" Id="Rbe2cb8f2eebb4655" /><Relationship Type="http://schemas.openxmlformats.org/officeDocument/2006/relationships/worksheet" Target="/xl/worksheets/sheet2.xml" Id="R94dcc1dc5ac94e3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36d15f411d46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Budget vs Actual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Jan Actual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Budget'!$C$4:$C$14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Feb Budget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Budget'!$D$4:$D$14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Feb Actual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Budget'!$E$4:$E$14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Mar Budget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Budget'!$F$4:$F$14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Mar Actual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Budget'!$G$4:$G$14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5"/>
          <c:order val="5"/>
          <c:tx>
            <c:v>Apr Budget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Budget'!$H$4:$H$14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6"/>
          <c:order val="6"/>
          <c:tx>
            <c:v>Apr Actual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Budget'!$I$4:$I$14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7"/>
          <c:order val="7"/>
          <c:tx>
            <c:v>May Budget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Budget'!$J$4:$J$14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8"/>
          <c:order val="8"/>
          <c:tx>
            <c:v>May Actual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Budget'!$K$4:$K$14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9"/>
          <c:order val="9"/>
          <c:tx>
            <c:v>Jun Budget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Budget'!$L$4:$L$14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0"/>
          <c:order val="10"/>
          <c:tx>
            <c:v>Jun Actual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Budget'!$M$4:$M$14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1"/>
          <c:order val="11"/>
          <c:tx>
            <c:v>Jul Budget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Budget'!$N$4:$N$14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2"/>
          <c:order val="12"/>
          <c:tx>
            <c:v>Jul Actual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Budget'!$O$4:$O$14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3"/>
          <c:order val="13"/>
          <c:tx>
            <c:v>Aug Budget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Budget'!$P$4:$P$14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4"/>
          <c:order val="14"/>
          <c:tx>
            <c:v>Aug Actual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Budget'!$Q$4:$Q$14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5"/>
          <c:order val="15"/>
          <c:tx>
            <c:v>Sep Budget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Budget'!$R$4:$R$14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6"/>
          <c:order val="16"/>
          <c:tx>
            <c:v>Sep Actual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Budget'!$S$4:$S$14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7"/>
          <c:order val="17"/>
          <c:tx>
            <c:v>Oct Budget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Budget'!$T$4:$T$14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8"/>
          <c:order val="18"/>
          <c:tx>
            <c:v>Oct Actual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Budget'!$U$4:$U$14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9"/>
          <c:order val="19"/>
          <c:tx>
            <c:v>Nov Budget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Budget'!$V$4:$V$14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20"/>
          <c:order val="20"/>
          <c:tx>
            <c:v>Nov Actual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Budget'!$W$4:$W$14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21"/>
          <c:order val="21"/>
          <c:tx>
            <c:v>Dec Budget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Budget'!$X$4:$X$14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22"/>
          <c:order val="22"/>
          <c:tx>
            <c:v>Dec Actual</c:v>
          </c:tx>
          <c:cat>
            <c:strRef>
              <c:f>'Monthly Budget'!$B$4:$B$14</c:f>
              <c:strCache>
                <c:ptCount val="0"/>
              </c:strCache>
            </c:strRef>
          </c:cat>
          <c:val>
            <c:numRef>
              <c:f>'Monthly Budget'!$Y$4:$Y$14</c:f>
              <c:numCache>
                <c:formatCode>$#,##0.00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36d15f411d467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8511db537324e78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28" t="str">
        <x:v>MSS Team Budget &amp; Financial Health</x:v>
      </x:c>
      <x:c r="B1" s="28"/>
      <x:c r="C1" s="28"/>
      <x:c r="D1" s="28"/>
      <x:c r="E1" s="28"/>
      <x:c r="F1" s="28"/>
    </x:row>
    <x:row r="2">
      <x:c r="A2" s="29"/>
      <x:c r="B2" s="29"/>
      <x:c r="C2" s="29"/>
      <x:c r="D2" s="29"/>
      <x:c r="E2" s="29"/>
      <x:c r="F2" s="29"/>
    </x:row>
    <x:row r="3">
      <x:c r="A3" s="30" t="str">
        <x:v>Team Name</x:v>
      </x:c>
      <x:c r="B3" s="29" t="str">
        <x:v>Enter Team Name</x:v>
      </x:c>
      <x:c r="C3" s="29"/>
      <x:c r="D3" s="14" t="str">
        <x:v>How to Use</x:v>
      </x:c>
      <x:c r="E3" s="14" t="str"/>
      <x:c r="F3" s="14" t="str"/>
    </x:row>
    <x:row r="4">
      <x:c r="A4" s="30" t="str">
        <x:v>Season</x:v>
      </x:c>
      <x:c r="B4" s="29" t="str">
        <x:v>2026-27</x:v>
      </x:c>
      <x:c r="C4" s="29"/>
      <x:c r="D4" s="29" t="str">
        <x:v>1</x:v>
      </x:c>
      <x:c r="E4" s="29" t="str">
        <x:v>Enter budget/actual costs by month on Monthly Budget.</x:v>
      </x:c>
      <x:c r="F4" s="29" t="str"/>
    </x:row>
    <x:row r="5">
      <x:c r="A5" s="30" t="str">
        <x:v>Minimum Paid Players</x:v>
      </x:c>
      <x:c r="B5" s="29" t="n">
        <x:v>8</x:v>
      </x:c>
      <x:c r="C5" s="29"/>
      <x:c r="D5" s="29" t="str">
        <x:v>2</x:v>
      </x:c>
      <x:c r="E5" s="29" t="str">
        <x:v>Set minimum paid players and proposed fee here.</x:v>
      </x:c>
      <x:c r="F5" s="29" t="str"/>
    </x:row>
    <x:row r="6">
      <x:c r="A6" s="30" t="str">
        <x:v>Expected Paid Players</x:v>
      </x:c>
      <x:c r="B6" s="29" t="n">
        <x:v>8</x:v>
      </x:c>
      <x:c r="C6" s="29"/>
      <x:c r="D6" s="29" t="str">
        <x:v>3</x:v>
      </x:c>
      <x:c r="E6" s="29" t="str">
        <x:v>Recommended fee = Annual Budget ÷ Minimum Paid Players.</x:v>
      </x:c>
      <x:c r="F6" s="29" t="str"/>
    </x:row>
    <x:row r="7">
      <x:c r="A7" s="30" t="str">
        <x:v>Proposed Season Fee / Player</x:v>
      </x:c>
      <x:c r="B7" s="31" t="n">
        <x:v>2250</x:v>
      </x:c>
      <x:c r="C7" s="29"/>
      <x:c r="D7" s="29" t="str">
        <x:v>4</x:v>
      </x:c>
      <x:c r="E7" s="29" t="str">
        <x:v>BLACK = projected break-even/surplus.</x:v>
      </x:c>
      <x:c r="F7" s="29" t="str"/>
    </x:row>
    <x:row r="8">
      <x:c r="A8" s="30" t="str">
        <x:v>Annual Team Budget</x:v>
      </x:c>
      <x:c r="B8" s="31" t="n">
        <x:f>'Monthly Budget'!Z14</x:f>
        <x:v>18000</x:v>
      </x:c>
      <x:c r="C8" s="29"/>
      <x:c r="D8" s="29" t="str">
        <x:v>5</x:v>
      </x:c>
      <x:c r="E8" s="29" t="str">
        <x:v>YELLOW = deficit within 5% of annual budget; RED = worse.</x:v>
      </x:c>
      <x:c r="F8" s="29" t="str"/>
    </x:row>
    <x:row r="9">
      <x:c r="A9" s="30" t="str">
        <x:v>Recommended Fee / Player</x:v>
      </x:c>
      <x:c r="B9" s="31" t="n">
        <x:f>IF(B5&gt;0,B8/B5,0)</x:f>
        <x:v>2250</x:v>
      </x:c>
      <x:c r="C9" s="29"/>
      <x:c r="D9" s="29"/>
      <x:c r="E9" s="29"/>
      <x:c r="F9" s="29"/>
    </x:row>
    <x:row r="10">
      <x:c r="A10" s="30" t="str">
        <x:v>Break-even Players at Proposed Fee</x:v>
      </x:c>
      <x:c r="B10" s="31" t="n">
        <x:f>IF(B7&gt;0,ROUNDUP(B8/B7,0),0)</x:f>
        <x:v>8</x:v>
      </x:c>
      <x:c r="C10" s="29"/>
      <x:c r="D10" s="29"/>
      <x:c r="E10" s="29"/>
      <x:c r="F10" s="29"/>
    </x:row>
    <x:row r="11">
      <x:c r="A11" s="30" t="str">
        <x:v>Projected Revenue</x:v>
      </x:c>
      <x:c r="B11" s="31" t="n">
        <x:f>B7*B6</x:f>
        <x:v>18000</x:v>
      </x:c>
      <x:c r="C11" s="29"/>
      <x:c r="D11" s="29"/>
      <x:c r="E11" s="29"/>
      <x:c r="F11" s="29"/>
    </x:row>
    <x:row r="12">
      <x:c r="A12" s="30" t="str">
        <x:v>Projected Surplus / (Deficit)</x:v>
      </x:c>
      <x:c r="B12" s="31" t="n">
        <x:f>B11-B8</x:f>
        <x:v>0</x:v>
      </x:c>
      <x:c r="C12" s="29"/>
      <x:c r="D12" s="29"/>
      <x:c r="E12" s="29"/>
      <x:c r="F12" s="29"/>
    </x:row>
    <x:row r="13">
      <x:c r="A13" s="30" t="str">
        <x:v>Financial Health</x:v>
      </x:c>
      <x:c r="B13" s="29" t="str">
        <x:f>IF(B12&gt;=0,"BLACK",IF(ABS(B12)&lt;=B8*0.05,"YELLOW","RED"))</x:f>
        <x:v>BLACK</x:v>
      </x:c>
      <x:c r="C13" s="29"/>
      <x:c r="D13" s="29"/>
      <x:c r="E13" s="29"/>
      <x:c r="F13" s="29"/>
    </x:row>
    <x:row r="14">
      <x:c r="A14" s="29"/>
      <x:c r="B14" s="29"/>
      <x:c r="C14" s="29"/>
      <x:c r="D14" s="29"/>
      <x:c r="E14" s="29"/>
      <x:c r="F14" s="29"/>
    </x:row>
    <x:row r="15">
      <x:c r="A15" s="29"/>
      <x:c r="B15" s="29"/>
      <x:c r="C15" s="29"/>
      <x:c r="D15" s="29"/>
      <x:c r="E15" s="29"/>
      <x:c r="F15" s="29"/>
    </x:row>
    <x:row r="16">
      <x:c r="A16" s="29"/>
      <x:c r="B16" s="29"/>
      <x:c r="C16" s="29"/>
      <x:c r="D16" s="29"/>
      <x:c r="E16" s="29"/>
      <x:c r="F16" s="29"/>
    </x:row>
    <x:row r="17">
      <x:c r="A17" s="29"/>
      <x:c r="B17" s="29"/>
      <x:c r="C17" s="29"/>
      <x:c r="D17" s="29"/>
      <x:c r="E17" s="29"/>
      <x:c r="F17" s="29"/>
    </x:row>
    <x:row r="18">
      <x:c r="A18" s="29"/>
      <x:c r="B18" s="29"/>
      <x:c r="C18" s="29"/>
      <x:c r="D18" s="29"/>
      <x:c r="E18" s="29"/>
      <x:c r="F18" s="29"/>
    </x:row>
    <x:row r="19">
      <x:c r="A19" s="29"/>
      <x:c r="B19" s="29"/>
      <x:c r="C19" s="29"/>
      <x:c r="D19" s="29"/>
      <x:c r="E19" s="29"/>
      <x:c r="F19" s="29"/>
    </x:row>
    <x:row r="20">
      <x:c r="A20" s="29"/>
      <x:c r="B20" s="29"/>
      <x:c r="C20" s="29"/>
      <x:c r="D20" s="29"/>
      <x:c r="E20" s="29"/>
      <x:c r="F20" s="29"/>
    </x:row>
  </x:sheetData>
  <x:mergeCells>
    <x:mergeCell ref="A1:F1"/>
  </x:mergeCells>
  <x:conditionalFormatting sqref="B13:B13">
    <x:cfRule type="expression" dxfId="0" priority="1">
      <x:formula>B13="BLACK"</x:formula>
    </x:cfRule>
    <x:cfRule type="expression" dxfId="1" priority="2">
      <x:formula>B13="YELLOW"</x:formula>
    </x:cfRule>
    <x:cfRule type="expression" dxfId="2" priority="3">
      <x:formula>B13="RED"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</x:cols>
  <x:sheetData>
    <x:row r="1">
      <x:c r="A1" s="5" t="str">
        <x:v>Monthly Team Budget &amp; Actual Costs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</x:row>
    <x:row r="3">
      <x:c r="A3" s="14" t="str">
        <x:v>Category</x:v>
      </x:c>
      <x:c r="B3" s="14" t="str">
        <x:v>Jan Budget</x:v>
      </x:c>
      <x:c r="C3" s="14" t="str">
        <x:v>Jan Actual</x:v>
      </x:c>
      <x:c r="D3" s="14" t="str">
        <x:v>Feb Budget</x:v>
      </x:c>
      <x:c r="E3" s="14" t="str">
        <x:v>Feb Actual</x:v>
      </x:c>
      <x:c r="F3" s="14" t="str">
        <x:v>Mar Budget</x:v>
      </x:c>
      <x:c r="G3" s="14" t="str">
        <x:v>Mar Actual</x:v>
      </x:c>
      <x:c r="H3" s="14" t="str">
        <x:v>Apr Budget</x:v>
      </x:c>
      <x:c r="I3" s="14" t="str">
        <x:v>Apr Actual</x:v>
      </x:c>
      <x:c r="J3" s="14" t="str">
        <x:v>May Budget</x:v>
      </x:c>
      <x:c r="K3" s="14" t="str">
        <x:v>May Actual</x:v>
      </x:c>
      <x:c r="L3" s="14" t="str">
        <x:v>Jun Budget</x:v>
      </x:c>
      <x:c r="M3" s="14" t="str">
        <x:v>Jun Actual</x:v>
      </x:c>
      <x:c r="N3" s="14" t="str">
        <x:v>Jul Budget</x:v>
      </x:c>
      <x:c r="O3" s="14" t="str">
        <x:v>Jul Actual</x:v>
      </x:c>
      <x:c r="P3" s="14" t="str">
        <x:v>Aug Budget</x:v>
      </x:c>
      <x:c r="Q3" s="14" t="str">
        <x:v>Aug Actual</x:v>
      </x:c>
      <x:c r="R3" s="14" t="str">
        <x:v>Sep Budget</x:v>
      </x:c>
      <x:c r="S3" s="14" t="str">
        <x:v>Sep Actual</x:v>
      </x:c>
      <x:c r="T3" s="14" t="str">
        <x:v>Oct Budget</x:v>
      </x:c>
      <x:c r="U3" s="14" t="str">
        <x:v>Oct Actual</x:v>
      </x:c>
      <x:c r="V3" s="14" t="str">
        <x:v>Nov Budget</x:v>
      </x:c>
      <x:c r="W3" s="14" t="str">
        <x:v>Nov Actual</x:v>
      </x:c>
      <x:c r="X3" s="14" t="str">
        <x:v>Dec Budget</x:v>
      </x:c>
      <x:c r="Y3" s="14" t="str">
        <x:v>Dec Actual</x:v>
      </x:c>
      <x:c r="Z3" s="14" t="str">
        <x:v>Annual Budget</x:v>
      </x:c>
      <x:c r="AA3" s="14" t="str">
        <x:v>Annual Actual</x:v>
      </x:c>
      <x:c r="AB3" s="14" t="str">
        <x:v>Variance</x:v>
      </x:c>
    </x:row>
    <x:row r="4">
      <x:c r="A4" t="str">
        <x:v>Court Rental</x:v>
      </x:c>
      <x:c r="B4" s="24" t="n">
        <x:v>400</x:v>
      </x:c>
      <x:c r="C4" s="24"/>
      <x:c r="D4" s="24" t="n">
        <x:v>400</x:v>
      </x:c>
      <x:c r="E4" s="24"/>
      <x:c r="F4" s="24" t="n">
        <x:v>400</x:v>
      </x:c>
      <x:c r="G4" s="24"/>
      <x:c r="H4" s="24" t="n">
        <x:v>400</x:v>
      </x:c>
      <x:c r="I4" s="24"/>
      <x:c r="J4" s="24" t="n">
        <x:v>400</x:v>
      </x:c>
      <x:c r="K4" s="24"/>
      <x:c r="L4" s="24" t="n">
        <x:v>400</x:v>
      </x:c>
      <x:c r="M4" s="24"/>
      <x:c r="N4" s="24" t="n">
        <x:v>400</x:v>
      </x:c>
      <x:c r="O4" s="24"/>
      <x:c r="P4" s="24" t="n">
        <x:v>400</x:v>
      </x:c>
      <x:c r="Q4" s="24"/>
      <x:c r="R4" s="24" t="n">
        <x:v>400</x:v>
      </x:c>
      <x:c r="S4" s="24"/>
      <x:c r="T4" s="24" t="n">
        <x:v>400</x:v>
      </x:c>
      <x:c r="U4" s="24"/>
      <x:c r="V4" s="24" t="n">
        <x:v>400</x:v>
      </x:c>
      <x:c r="W4" s="24"/>
      <x:c r="X4" s="24" t="n">
        <x:v>400</x:v>
      </x:c>
      <x:c r="Y4" s="24"/>
      <x:c r="Z4" s="24" t="n">
        <x:f>B4+D4+F4+H4+J4+L4+N4+P4+R4+T4+V4+X4</x:f>
        <x:v>4800</x:v>
      </x:c>
      <x:c r="AA4" s="24" t="n">
        <x:f>C4+E4+G4+I4+K4+M4+O4+Q4+S4+U4+W4+Y4</x:f>
        <x:v>0</x:v>
      </x:c>
      <x:c r="AB4" s="24" t="n">
        <x:f>Z4-AA4</x:f>
        <x:v>4800</x:v>
      </x:c>
    </x:row>
    <x:row r="5">
      <x:c r="A5" t="str">
        <x:v>Coaching</x:v>
      </x:c>
      <x:c r="B5" s="24" t="n">
        <x:v>400</x:v>
      </x:c>
      <x:c r="C5" s="24"/>
      <x:c r="D5" s="24" t="n">
        <x:v>400</x:v>
      </x:c>
      <x:c r="E5" s="24"/>
      <x:c r="F5" s="24" t="n">
        <x:v>400</x:v>
      </x:c>
      <x:c r="G5" s="24"/>
      <x:c r="H5" s="24" t="n">
        <x:v>400</x:v>
      </x:c>
      <x:c r="I5" s="24"/>
      <x:c r="J5" s="24" t="n">
        <x:v>400</x:v>
      </x:c>
      <x:c r="K5" s="24"/>
      <x:c r="L5" s="24" t="n">
        <x:v>400</x:v>
      </x:c>
      <x:c r="M5" s="24"/>
      <x:c r="N5" s="24" t="n">
        <x:v>400</x:v>
      </x:c>
      <x:c r="O5" s="24"/>
      <x:c r="P5" s="24" t="n">
        <x:v>400</x:v>
      </x:c>
      <x:c r="Q5" s="24"/>
      <x:c r="R5" s="24" t="n">
        <x:v>400</x:v>
      </x:c>
      <x:c r="S5" s="24"/>
      <x:c r="T5" s="24" t="n">
        <x:v>400</x:v>
      </x:c>
      <x:c r="U5" s="24"/>
      <x:c r="V5" s="24" t="n">
        <x:v>400</x:v>
      </x:c>
      <x:c r="W5" s="24"/>
      <x:c r="X5" s="24" t="n">
        <x:v>400</x:v>
      </x:c>
      <x:c r="Y5" s="24"/>
      <x:c r="Z5" s="24" t="n">
        <x:f>B5+D5+F5+H5+J5+L5+N5+P5+R5+T5+V5+X5</x:f>
        <x:v>4800</x:v>
      </x:c>
      <x:c r="AA5" s="24" t="n">
        <x:f>C5+E5+G5+I5+K5+M5+O5+Q5+S5+U5+W5+Y5</x:f>
        <x:v>0</x:v>
      </x:c>
      <x:c r="AB5" s="24" t="n">
        <x:f>Z5-AA5</x:f>
        <x:v>4800</x:v>
      </x:c>
    </x:row>
    <x:row r="6">
      <x:c r="A6" t="str">
        <x:v>Administration</x:v>
      </x:c>
      <x:c r="B6" s="24" t="n">
        <x:v>100</x:v>
      </x:c>
      <x:c r="C6" s="24"/>
      <x:c r="D6" s="24" t="n">
        <x:v>100</x:v>
      </x:c>
      <x:c r="E6" s="24"/>
      <x:c r="F6" s="24" t="n">
        <x:v>100</x:v>
      </x:c>
      <x:c r="G6" s="24"/>
      <x:c r="H6" s="24" t="n">
        <x:v>100</x:v>
      </x:c>
      <x:c r="I6" s="24"/>
      <x:c r="J6" s="24" t="n">
        <x:v>100</x:v>
      </x:c>
      <x:c r="K6" s="24"/>
      <x:c r="L6" s="24" t="n">
        <x:v>100</x:v>
      </x:c>
      <x:c r="M6" s="24"/>
      <x:c r="N6" s="24" t="n">
        <x:v>100</x:v>
      </x:c>
      <x:c r="O6" s="24"/>
      <x:c r="P6" s="24" t="n">
        <x:v>100</x:v>
      </x:c>
      <x:c r="Q6" s="24"/>
      <x:c r="R6" s="24" t="n">
        <x:v>100</x:v>
      </x:c>
      <x:c r="S6" s="24"/>
      <x:c r="T6" s="24" t="n">
        <x:v>100</x:v>
      </x:c>
      <x:c r="U6" s="24"/>
      <x:c r="V6" s="24" t="n">
        <x:v>100</x:v>
      </x:c>
      <x:c r="W6" s="24"/>
      <x:c r="X6" s="24" t="n">
        <x:v>100</x:v>
      </x:c>
      <x:c r="Y6" s="24"/>
      <x:c r="Z6" s="24" t="n">
        <x:f>B6+D6+F6+H6+J6+L6+N6+P6+R6+T6+V6+X6</x:f>
        <x:v>1200</x:v>
      </x:c>
      <x:c r="AA6" s="24" t="n">
        <x:f>C6+E6+G6+I6+K6+M6+O6+Q6+S6+U6+W6+Y6</x:f>
        <x:v>0</x:v>
      </x:c>
      <x:c r="AB6" s="24" t="n">
        <x:f>Z6-AA6</x:f>
        <x:v>1200</x:v>
      </x:c>
    </x:row>
    <x:row r="7">
      <x:c r="A7" t="str">
        <x:v>Tournaments / Leagues</x:v>
      </x:c>
      <x:c r="B7" s="24" t="n">
        <x:v>300</x:v>
      </x:c>
      <x:c r="C7" s="24"/>
      <x:c r="D7" s="24" t="n">
        <x:v>300</x:v>
      </x:c>
      <x:c r="E7" s="24"/>
      <x:c r="F7" s="24" t="n">
        <x:v>300</x:v>
      </x:c>
      <x:c r="G7" s="24"/>
      <x:c r="H7" s="24" t="n">
        <x:v>300</x:v>
      </x:c>
      <x:c r="I7" s="24"/>
      <x:c r="J7" s="24" t="n">
        <x:v>300</x:v>
      </x:c>
      <x:c r="K7" s="24"/>
      <x:c r="L7" s="24" t="n">
        <x:v>300</x:v>
      </x:c>
      <x:c r="M7" s="24"/>
      <x:c r="N7" s="24" t="n">
        <x:v>300</x:v>
      </x:c>
      <x:c r="O7" s="24"/>
      <x:c r="P7" s="24" t="n">
        <x:v>300</x:v>
      </x:c>
      <x:c r="Q7" s="24"/>
      <x:c r="R7" s="24" t="n">
        <x:v>300</x:v>
      </x:c>
      <x:c r="S7" s="24"/>
      <x:c r="T7" s="24" t="n">
        <x:v>300</x:v>
      </x:c>
      <x:c r="U7" s="24"/>
      <x:c r="V7" s="24" t="n">
        <x:v>300</x:v>
      </x:c>
      <x:c r="W7" s="24"/>
      <x:c r="X7" s="24" t="n">
        <x:v>300</x:v>
      </x:c>
      <x:c r="Y7" s="24"/>
      <x:c r="Z7" s="24" t="n">
        <x:f>B7+D7+F7+H7+J7+L7+N7+P7+R7+T7+V7+X7</x:f>
        <x:v>3600</x:v>
      </x:c>
      <x:c r="AA7" s="24" t="n">
        <x:f>C7+E7+G7+I7+K7+M7+O7+Q7+S7+U7+W7+Y7</x:f>
        <x:v>0</x:v>
      </x:c>
      <x:c r="AB7" s="24" t="n">
        <x:f>Z7-AA7</x:f>
        <x:v>3600</x:v>
      </x:c>
    </x:row>
    <x:row r="8">
      <x:c r="A8" t="str">
        <x:v>Travel</x:v>
      </x:c>
      <x:c r="B8" s="24" t="n">
        <x:v>100</x:v>
      </x:c>
      <x:c r="C8" s="24"/>
      <x:c r="D8" s="24" t="n">
        <x:v>100</x:v>
      </x:c>
      <x:c r="E8" s="24"/>
      <x:c r="F8" s="24" t="n">
        <x:v>100</x:v>
      </x:c>
      <x:c r="G8" s="24"/>
      <x:c r="H8" s="24" t="n">
        <x:v>100</x:v>
      </x:c>
      <x:c r="I8" s="24"/>
      <x:c r="J8" s="24" t="n">
        <x:v>100</x:v>
      </x:c>
      <x:c r="K8" s="24"/>
      <x:c r="L8" s="24" t="n">
        <x:v>100</x:v>
      </x:c>
      <x:c r="M8" s="24"/>
      <x:c r="N8" s="24" t="n">
        <x:v>100</x:v>
      </x:c>
      <x:c r="O8" s="24"/>
      <x:c r="P8" s="24" t="n">
        <x:v>100</x:v>
      </x:c>
      <x:c r="Q8" s="24"/>
      <x:c r="R8" s="24" t="n">
        <x:v>100</x:v>
      </x:c>
      <x:c r="S8" s="24"/>
      <x:c r="T8" s="24" t="n">
        <x:v>100</x:v>
      </x:c>
      <x:c r="U8" s="24"/>
      <x:c r="V8" s="24" t="n">
        <x:v>100</x:v>
      </x:c>
      <x:c r="W8" s="24"/>
      <x:c r="X8" s="24" t="n">
        <x:v>100</x:v>
      </x:c>
      <x:c r="Y8" s="24"/>
      <x:c r="Z8" s="24" t="n">
        <x:f>B8+D8+F8+H8+J8+L8+N8+P8+R8+T8+V8+X8</x:f>
        <x:v>1200</x:v>
      </x:c>
      <x:c r="AA8" s="24" t="n">
        <x:f>C8+E8+G8+I8+K8+M8+O8+Q8+S8+U8+W8+Y8</x:f>
        <x:v>0</x:v>
      </x:c>
      <x:c r="AB8" s="24" t="n">
        <x:f>Z8-AA8</x:f>
        <x:v>1200</x:v>
      </x:c>
    </x:row>
    <x:row r="9">
      <x:c r="A9" t="str">
        <x:v>Uniforms</x:v>
      </x:c>
      <x:c r="B9" s="24" t="n">
        <x:v>75</x:v>
      </x:c>
      <x:c r="C9" s="24"/>
      <x:c r="D9" s="24" t="n">
        <x:v>75</x:v>
      </x:c>
      <x:c r="E9" s="24"/>
      <x:c r="F9" s="24" t="n">
        <x:v>75</x:v>
      </x:c>
      <x:c r="G9" s="24"/>
      <x:c r="H9" s="24" t="n">
        <x:v>75</x:v>
      </x:c>
      <x:c r="I9" s="24"/>
      <x:c r="J9" s="24" t="n">
        <x:v>75</x:v>
      </x:c>
      <x:c r="K9" s="24"/>
      <x:c r="L9" s="24" t="n">
        <x:v>75</x:v>
      </x:c>
      <x:c r="M9" s="24"/>
      <x:c r="N9" s="24" t="n">
        <x:v>75</x:v>
      </x:c>
      <x:c r="O9" s="24"/>
      <x:c r="P9" s="24" t="n">
        <x:v>75</x:v>
      </x:c>
      <x:c r="Q9" s="24"/>
      <x:c r="R9" s="24" t="n">
        <x:v>75</x:v>
      </x:c>
      <x:c r="S9" s="24"/>
      <x:c r="T9" s="24" t="n">
        <x:v>75</x:v>
      </x:c>
      <x:c r="U9" s="24"/>
      <x:c r="V9" s="24" t="n">
        <x:v>75</x:v>
      </x:c>
      <x:c r="W9" s="24"/>
      <x:c r="X9" s="24" t="n">
        <x:v>75</x:v>
      </x:c>
      <x:c r="Y9" s="24"/>
      <x:c r="Z9" s="24" t="n">
        <x:f>B9+D9+F9+H9+J9+L9+N9+P9+R9+T9+V9+X9</x:f>
        <x:v>900</x:v>
      </x:c>
      <x:c r="AA9" s="24" t="n">
        <x:f>C9+E9+G9+I9+K9+M9+O9+Q9+S9+U9+W9+Y9</x:f>
        <x:v>0</x:v>
      </x:c>
      <x:c r="AB9" s="24" t="n">
        <x:f>Z9-AA9</x:f>
        <x:v>900</x:v>
      </x:c>
    </x:row>
    <x:row r="10">
      <x:c r="A10" t="str">
        <x:v>Insurance</x:v>
      </x:c>
      <x:c r="B10" s="24" t="n">
        <x:v>50</x:v>
      </x:c>
      <x:c r="C10" s="24"/>
      <x:c r="D10" s="24" t="n">
        <x:v>50</x:v>
      </x:c>
      <x:c r="E10" s="24"/>
      <x:c r="F10" s="24" t="n">
        <x:v>50</x:v>
      </x:c>
      <x:c r="G10" s="24"/>
      <x:c r="H10" s="24" t="n">
        <x:v>50</x:v>
      </x:c>
      <x:c r="I10" s="24"/>
      <x:c r="J10" s="24" t="n">
        <x:v>50</x:v>
      </x:c>
      <x:c r="K10" s="24"/>
      <x:c r="L10" s="24" t="n">
        <x:v>50</x:v>
      </x:c>
      <x:c r="M10" s="24"/>
      <x:c r="N10" s="24" t="n">
        <x:v>50</x:v>
      </x:c>
      <x:c r="O10" s="24"/>
      <x:c r="P10" s="24" t="n">
        <x:v>50</x:v>
      </x:c>
      <x:c r="Q10" s="24"/>
      <x:c r="R10" s="24" t="n">
        <x:v>50</x:v>
      </x:c>
      <x:c r="S10" s="24"/>
      <x:c r="T10" s="24" t="n">
        <x:v>50</x:v>
      </x:c>
      <x:c r="U10" s="24"/>
      <x:c r="V10" s="24" t="n">
        <x:v>50</x:v>
      </x:c>
      <x:c r="W10" s="24"/>
      <x:c r="X10" s="24" t="n">
        <x:v>50</x:v>
      </x:c>
      <x:c r="Y10" s="24"/>
      <x:c r="Z10" s="24" t="n">
        <x:f>B10+D10+F10+H10+J10+L10+N10+P10+R10+T10+V10+X10</x:f>
        <x:v>600</x:v>
      </x:c>
      <x:c r="AA10" s="24" t="n">
        <x:f>C10+E10+G10+I10+K10+M10+O10+Q10+S10+U10+W10+Y10</x:f>
        <x:v>0</x:v>
      </x:c>
      <x:c r="AB10" s="24" t="n">
        <x:f>Z10-AA10</x:f>
        <x:v>600</x:v>
      </x:c>
    </x:row>
    <x:row r="11">
      <x:c r="A11" t="str">
        <x:v>Equipment</x:v>
      </x:c>
      <x:c r="B11" s="24" t="n">
        <x:v>50</x:v>
      </x:c>
      <x:c r="C11" s="24"/>
      <x:c r="D11" s="24" t="n">
        <x:v>50</x:v>
      </x:c>
      <x:c r="E11" s="24"/>
      <x:c r="F11" s="24" t="n">
        <x:v>50</x:v>
      </x:c>
      <x:c r="G11" s="24"/>
      <x:c r="H11" s="24" t="n">
        <x:v>50</x:v>
      </x:c>
      <x:c r="I11" s="24"/>
      <x:c r="J11" s="24" t="n">
        <x:v>50</x:v>
      </x:c>
      <x:c r="K11" s="24"/>
      <x:c r="L11" s="24" t="n">
        <x:v>50</x:v>
      </x:c>
      <x:c r="M11" s="24"/>
      <x:c r="N11" s="24" t="n">
        <x:v>50</x:v>
      </x:c>
      <x:c r="O11" s="24"/>
      <x:c r="P11" s="24" t="n">
        <x:v>50</x:v>
      </x:c>
      <x:c r="Q11" s="24"/>
      <x:c r="R11" s="24" t="n">
        <x:v>50</x:v>
      </x:c>
      <x:c r="S11" s="24"/>
      <x:c r="T11" s="24" t="n">
        <x:v>50</x:v>
      </x:c>
      <x:c r="U11" s="24"/>
      <x:c r="V11" s="24" t="n">
        <x:v>50</x:v>
      </x:c>
      <x:c r="W11" s="24"/>
      <x:c r="X11" s="24" t="n">
        <x:v>50</x:v>
      </x:c>
      <x:c r="Y11" s="24"/>
      <x:c r="Z11" s="24" t="n">
        <x:f>B11+D11+F11+H11+J11+L11+N11+P11+R11+T11+V11+X11</x:f>
        <x:v>600</x:v>
      </x:c>
      <x:c r="AA11" s="24" t="n">
        <x:f>C11+E11+G11+I11+K11+M11+O11+Q11+S11+U11+W11+Y11</x:f>
        <x:v>0</x:v>
      </x:c>
      <x:c r="AB11" s="24" t="n">
        <x:f>Z11-AA11</x:f>
        <x:v>600</x:v>
      </x:c>
    </x:row>
    <x:row r="12">
      <x:c r="A12" t="str">
        <x:v>Other</x:v>
      </x:c>
      <x:c r="B12" s="24" t="n">
        <x:v>25</x:v>
      </x:c>
      <x:c r="C12" s="24"/>
      <x:c r="D12" s="24" t="n">
        <x:v>25</x:v>
      </x:c>
      <x:c r="E12" s="24"/>
      <x:c r="F12" s="24" t="n">
        <x:v>25</x:v>
      </x:c>
      <x:c r="G12" s="24"/>
      <x:c r="H12" s="24" t="n">
        <x:v>25</x:v>
      </x:c>
      <x:c r="I12" s="24"/>
      <x:c r="J12" s="24" t="n">
        <x:v>25</x:v>
      </x:c>
      <x:c r="K12" s="24"/>
      <x:c r="L12" s="24" t="n">
        <x:v>25</x:v>
      </x:c>
      <x:c r="M12" s="24"/>
      <x:c r="N12" s="24" t="n">
        <x:v>25</x:v>
      </x:c>
      <x:c r="O12" s="24"/>
      <x:c r="P12" s="24" t="n">
        <x:v>25</x:v>
      </x:c>
      <x:c r="Q12" s="24"/>
      <x:c r="R12" s="24" t="n">
        <x:v>25</x:v>
      </x:c>
      <x:c r="S12" s="24"/>
      <x:c r="T12" s="24" t="n">
        <x:v>25</x:v>
      </x:c>
      <x:c r="U12" s="24"/>
      <x:c r="V12" s="24" t="n">
        <x:v>25</x:v>
      </x:c>
      <x:c r="W12" s="24"/>
      <x:c r="X12" s="24" t="n">
        <x:v>25</x:v>
      </x:c>
      <x:c r="Y12" s="24"/>
      <x:c r="Z12" s="24" t="n">
        <x:f>B12+D12+F12+H12+J12+L12+N12+P12+R12+T12+V12+X12</x:f>
        <x:v>300</x:v>
      </x:c>
      <x:c r="AA12" s="24" t="n">
        <x:f>C12+E12+G12+I12+K12+M12+O12+Q12+S12+U12+W12+Y12</x:f>
        <x:v>0</x:v>
      </x:c>
      <x:c r="AB12" s="24" t="n">
        <x:f>Z12-AA12</x:f>
        <x:v>300</x:v>
      </x:c>
    </x:row>
    <x:row r="13"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  <x:c r="AA13" s="24"/>
      <x:c r="AB13" s="24"/>
    </x:row>
    <x:row r="14">
      <x:c r="A14" s="22" t="str">
        <x:v>TOTAL</x:v>
      </x:c>
      <x:c r="B14" s="26" t="n">
        <x:f>SUM(B4:B12)</x:f>
        <x:v>1500</x:v>
      </x:c>
      <x:c r="C14" s="26" t="n">
        <x:f>SUM(C4:C12)</x:f>
        <x:v>0</x:v>
      </x:c>
      <x:c r="D14" s="26" t="n">
        <x:f>SUM(D4:D12)</x:f>
        <x:v>1500</x:v>
      </x:c>
      <x:c r="E14" s="26" t="n">
        <x:f>SUM(E4:E12)</x:f>
        <x:v>0</x:v>
      </x:c>
      <x:c r="F14" s="26" t="n">
        <x:f>SUM(F4:F12)</x:f>
        <x:v>1500</x:v>
      </x:c>
      <x:c r="G14" s="26" t="n">
        <x:f>SUM(G4:G12)</x:f>
        <x:v>0</x:v>
      </x:c>
      <x:c r="H14" s="26" t="n">
        <x:f>SUM(H4:H12)</x:f>
        <x:v>1500</x:v>
      </x:c>
      <x:c r="I14" s="26" t="n">
        <x:f>SUM(I4:I12)</x:f>
        <x:v>0</x:v>
      </x:c>
      <x:c r="J14" s="26" t="n">
        <x:f>SUM(J4:J12)</x:f>
        <x:v>1500</x:v>
      </x:c>
      <x:c r="K14" s="26" t="n">
        <x:f>SUM(K4:K12)</x:f>
        <x:v>0</x:v>
      </x:c>
      <x:c r="L14" s="26" t="n">
        <x:f>SUM(L4:L12)</x:f>
        <x:v>1500</x:v>
      </x:c>
      <x:c r="M14" s="26" t="n">
        <x:f>SUM(M4:M12)</x:f>
        <x:v>0</x:v>
      </x:c>
      <x:c r="N14" s="26" t="n">
        <x:f>SUM(N4:N12)</x:f>
        <x:v>1500</x:v>
      </x:c>
      <x:c r="O14" s="26" t="n">
        <x:f>SUM(O4:O12)</x:f>
        <x:v>0</x:v>
      </x:c>
      <x:c r="P14" s="26" t="n">
        <x:f>SUM(P4:P12)</x:f>
        <x:v>1500</x:v>
      </x:c>
      <x:c r="Q14" s="26" t="n">
        <x:f>SUM(Q4:Q12)</x:f>
        <x:v>0</x:v>
      </x:c>
      <x:c r="R14" s="26" t="n">
        <x:f>SUM(R4:R12)</x:f>
        <x:v>1500</x:v>
      </x:c>
      <x:c r="S14" s="26" t="n">
        <x:f>SUM(S4:S12)</x:f>
        <x:v>0</x:v>
      </x:c>
      <x:c r="T14" s="26" t="n">
        <x:f>SUM(T4:T12)</x:f>
        <x:v>1500</x:v>
      </x:c>
      <x:c r="U14" s="26" t="n">
        <x:f>SUM(U4:U12)</x:f>
        <x:v>0</x:v>
      </x:c>
      <x:c r="V14" s="26" t="n">
        <x:f>SUM(V4:V12)</x:f>
        <x:v>1500</x:v>
      </x:c>
      <x:c r="W14" s="26" t="n">
        <x:f>SUM(W4:W12)</x:f>
        <x:v>0</x:v>
      </x:c>
      <x:c r="X14" s="26" t="n">
        <x:f>SUM(X4:X12)</x:f>
        <x:v>1500</x:v>
      </x:c>
      <x:c r="Y14" s="26" t="n">
        <x:f>SUM(Y4:Y12)</x:f>
        <x:v>0</x:v>
      </x:c>
      <x:c r="Z14" s="26" t="n">
        <x:f>SUM(Z4:Z12)</x:f>
        <x:v>18000</x:v>
      </x:c>
      <x:c r="AA14" s="26" t="n">
        <x:f>SUM(AA4:AA12)</x:f>
        <x:v>0</x:v>
      </x:c>
      <x:c r="AB14" s="26" t="n">
        <x:f>SUM(AB4:AB12)</x:f>
        <x:v>18000</x:v>
      </x:c>
    </x:row>
  </x:sheetData>
  <x:mergeCells>
    <x:mergeCell ref="A1:AB1"/>
  </x:mergeCells>
  <x:pageMargins left="0.7" right="0.7" top="0.75" bottom="0.75" header="0.3" footer="0.3"/>
  <x:drawing xmlns:r="http://schemas.openxmlformats.org/officeDocument/2006/relationships" r:id="Rf8511db537324e78"/>
</x:worksheet>
</file>