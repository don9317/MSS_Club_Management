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89b8eea92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25be9a243445ed"/>
    <x:sheet xmlns:r="http://schemas.openxmlformats.org/officeDocument/2006/relationships" name="Monthly Budget" sheetId="2" r:id="R88ad885e146146c8"/>
    <x:sheet xmlns:r="http://schemas.openxmlformats.org/officeDocument/2006/relationships" name="Player Allocation" sheetId="3" r:id="Rb026168ce4d34e90"/>
    <x:sheet xmlns:r="http://schemas.openxmlformats.org/officeDocument/2006/relationships" name="Donations" sheetId="4" r:id="Rf2d3312b4597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ACC15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11827"/>
      </x:font>
      <x:fill>
        <x:patternFill>
          <x:bgColor rgb="FFFACC15"/>
        </x:patternFill>
      </x:fill>
    </x:dxf>
    <x:dxf>
      <x:font>
        <x:b/>
        <x:color rgb="FF991B1B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e38931b8e4aec" /><Relationship Type="http://schemas.openxmlformats.org/officeDocument/2006/relationships/theme" Target="/xl/theme/theme1.xml" Id="Raa837bffaf4e4f54" /><Relationship Type="http://schemas.openxmlformats.org/officeDocument/2006/relationships/sharedStrings" Target="/xl/sharedStrings.xml" Id="Rd48475858d5e4cab" /><Relationship Type="http://schemas.openxmlformats.org/officeDocument/2006/relationships/worksheet" Target="/xl/worksheets/sheet1.xml" Id="R8825be9a243445ed" /><Relationship Type="http://schemas.openxmlformats.org/officeDocument/2006/relationships/worksheet" Target="/xl/worksheets/sheet2.xml" Id="R88ad885e146146c8" /><Relationship Type="http://schemas.openxmlformats.org/officeDocument/2006/relationships/worksheet" Target="/xl/worksheets/sheet3.xml" Id="Rb026168ce4d34e90" /><Relationship Type="http://schemas.openxmlformats.org/officeDocument/2006/relationships/worksheet" Target="/xl/worksheets/sheet4.xml" Id="Rf2d3312b45974d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60687e226c46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Budget vs Actual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Jan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Budget'!$C$4:$C$14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Feb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Budget'!$D$4:$D$14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Feb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Budget'!$E$4:$E$14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Mar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Budget'!$F$4:$F$14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Mar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Budget'!$G$4:$G$14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Apr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Budget'!$H$4:$H$14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Apr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Budget'!$I$4:$I$14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May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Budget'!$J$4:$J$14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May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Budget'!$K$4:$K$14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Jun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Budget'!$L$4:$L$14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Jun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Budget'!$M$4:$M$14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Jul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Budget'!$N$4:$N$14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Jul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Budget'!$O$4:$O$14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Aug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Budget'!$P$4:$P$14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Aug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Budget'!$Q$4:$Q$14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Sep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Budget'!$R$4:$R$14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6"/>
          <c:order val="16"/>
          <c:tx>
            <c:v>Sep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Budget'!$S$4:$S$14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7"/>
          <c:order val="17"/>
          <c:tx>
            <c:v>Oct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Budget'!$T$4:$T$14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8"/>
          <c:order val="18"/>
          <c:tx>
            <c:v>Oct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Budget'!$U$4:$U$14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9"/>
          <c:order val="19"/>
          <c:tx>
            <c:v>Nov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Budget'!$V$4:$V$14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0"/>
          <c:order val="20"/>
          <c:tx>
            <c:v>Nov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Budget'!$W$4:$W$14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1"/>
          <c:order val="21"/>
          <c:tx>
            <c:v>Dec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Budget'!$X$4:$X$14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2"/>
          <c:order val="22"/>
          <c:tx>
            <c:v>Dec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Budget'!$Y$4:$Y$14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60687e226c46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87fe40ebbb48b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8" t="str">
        <x:v>MSS Team Budget &amp; Financial Health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30" t="str">
        <x:v>Team Name</x:v>
      </x:c>
      <x:c r="B3" s="29" t="str">
        <x:v>Enter Team Name</x:v>
      </x:c>
      <x:c r="C3" s="29"/>
      <x:c r="D3" s="14" t="str">
        <x:v>How to Use</x:v>
      </x:c>
      <x:c r="E3" s="14" t="str"/>
      <x:c r="F3" s="14" t="str"/>
    </x:row>
    <x:row r="4">
      <x:c r="A4" s="30" t="str">
        <x:v>Season</x:v>
      </x:c>
      <x:c r="B4" s="29" t="str">
        <x:v>2026-27</x:v>
      </x:c>
      <x:c r="C4" s="29"/>
      <x:c r="D4" s="29" t="str">
        <x:v>1</x:v>
      </x:c>
      <x:c r="E4" s="29" t="str">
        <x:v>Enter budget/actual costs by month on Monthly Budget.</x:v>
      </x:c>
      <x:c r="F4" s="29" t="str"/>
    </x:row>
    <x:row r="5">
      <x:c r="A5" s="30" t="str">
        <x:v>Minimum Paid Players</x:v>
      </x:c>
      <x:c r="B5" s="29" t="n">
        <x:v>8</x:v>
      </x:c>
      <x:c r="C5" s="29"/>
      <x:c r="D5" s="29" t="str">
        <x:v>2</x:v>
      </x:c>
      <x:c r="E5" s="29" t="str">
        <x:v>Set minimum paid players and proposed fee here.</x:v>
      </x:c>
      <x:c r="F5" s="29" t="str"/>
    </x:row>
    <x:row r="6">
      <x:c r="A6" s="30" t="str">
        <x:v>Expected Paid Players</x:v>
      </x:c>
      <x:c r="B6" s="29" t="n">
        <x:v>8</x:v>
      </x:c>
      <x:c r="C6" s="29"/>
      <x:c r="D6" s="29" t="str">
        <x:v>3</x:v>
      </x:c>
      <x:c r="E6" s="29" t="str">
        <x:v>Recommended fee = Annual Budget ÷ Minimum Paid Players.</x:v>
      </x:c>
      <x:c r="F6" s="29" t="str"/>
    </x:row>
    <x:row r="7">
      <x:c r="A7" s="30" t="str">
        <x:v>Proposed Season Fee / Player</x:v>
      </x:c>
      <x:c r="B7" s="31" t="n">
        <x:v>2250</x:v>
      </x:c>
      <x:c r="C7" s="29"/>
      <x:c r="D7" s="29" t="str">
        <x:v>4</x:v>
      </x:c>
      <x:c r="E7" s="29" t="str">
        <x:v>BLACK = projected break-even/surplus.</x:v>
      </x:c>
      <x:c r="F7" s="29" t="str"/>
    </x:row>
    <x:row r="8">
      <x:c r="A8" s="30" t="str">
        <x:v>Annual Team Budget</x:v>
      </x:c>
      <x:c r="B8" s="31" t="n">
        <x:f>'Monthly Budget'!Z14</x:f>
        <x:v>18000</x:v>
      </x:c>
      <x:c r="C8" s="29"/>
      <x:c r="D8" s="29" t="str">
        <x:v>5</x:v>
      </x:c>
      <x:c r="E8" s="29" t="str">
        <x:v>YELLOW = deficit within 5% of annual budget; RED = worse.</x:v>
      </x:c>
      <x:c r="F8" s="29" t="str"/>
    </x:row>
    <x:row r="9">
      <x:c r="A9" s="30" t="str">
        <x:v>Recommended Fee / Player</x:v>
      </x:c>
      <x:c r="B9" s="31" t="n">
        <x:f>IF(B5&gt;0,B8/B5,0)</x:f>
        <x:v>2250</x:v>
      </x:c>
      <x:c r="C9" s="29"/>
      <x:c r="D9" s="29"/>
      <x:c r="E9" s="29"/>
      <x:c r="F9" s="29"/>
    </x:row>
    <x:row r="10">
      <x:c r="A10" s="30" t="str">
        <x:v>Break-even Players at Proposed Fee</x:v>
      </x:c>
      <x:c r="B10" s="31" t="n">
        <x:f>IF(B7&gt;0,ROUNDUP(B8/B7,0),0)</x:f>
        <x:v>8</x:v>
      </x:c>
      <x:c r="C10" s="29"/>
      <x:c r="D10" s="29"/>
      <x:c r="E10" s="29"/>
      <x:c r="F10" s="29"/>
    </x:row>
    <x:row r="11">
      <x:c r="A11" s="30" t="str">
        <x:v>Projected Revenue</x:v>
      </x:c>
      <x:c r="B11" s="31" t="n">
        <x:f>B7*B6</x:f>
        <x:v>18000</x:v>
      </x:c>
      <x:c r="C11" s="29"/>
      <x:c r="D11" s="29"/>
      <x:c r="E11" s="29"/>
      <x:c r="F11" s="29"/>
    </x:row>
    <x:row r="12">
      <x:c r="A12" s="30" t="str">
        <x:v>Projected Surplus / (Deficit)</x:v>
      </x:c>
      <x:c r="B12" s="31" t="n">
        <x:f>B11-B8</x:f>
        <x:v>0</x:v>
      </x:c>
      <x:c r="C12" s="29"/>
      <x:c r="D12" s="29"/>
      <x:c r="E12" s="29"/>
      <x:c r="F12" s="29"/>
    </x:row>
    <x:row r="13">
      <x:c r="A13" s="30" t="str">
        <x:v>Financial Health</x:v>
      </x:c>
      <x:c r="B13" s="29" t="str">
        <x:f>IF(B12&gt;=0,"BLACK",IF(ABS(B12)&lt;=B8*0.05,"YELLOW","RED"))</x:f>
        <x:v>BLACK</x:v>
      </x:c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 t="str">
        <x:v>Team Donations</x:v>
      </x:c>
      <x:c r="B15" s="31" t="n">
        <x:f>SUMIFS(Donations!$F:$F,Donations!$C:$C,"Team")</x:f>
        <x:v>0</x:v>
      </x:c>
      <x:c r="C15" s="29"/>
      <x:c r="D15" s="29"/>
      <x:c r="E15" s="29"/>
      <x:c r="F15" s="29"/>
    </x:row>
    <x:row r="16">
      <x:c r="A16" s="29" t="str">
        <x:v>Player Donations</x:v>
      </x:c>
      <x:c r="B16" s="31" t="n">
        <x:f>SUMIFS(Donations!$F:$F,Donations!$C:$C,"Player")</x:f>
        <x:v>0</x:v>
      </x:c>
      <x:c r="C16" s="29"/>
      <x:c r="D16" s="29"/>
      <x:c r="E16" s="29"/>
      <x:c r="F16" s="29"/>
    </x:row>
    <x:row r="17">
      <x:c r="A17" s="29" t="str">
        <x:v>Net Team Cost After Team Donations</x:v>
      </x:c>
      <x:c r="B17" s="31" t="n">
        <x:f>MAX(0,B8-B15)</x:f>
        <x:v>18000</x:v>
      </x:c>
      <x:c r="C17" s="29"/>
      <x:c r="D17" s="29"/>
      <x:c r="E17" s="29"/>
      <x:c r="F17" s="29"/>
    </x:row>
    <x:row r="18">
      <x:c r="A18" s="29" t="str">
        <x:v>Adjusted Recommended Fee / Player</x:v>
      </x:c>
      <x:c r="B18" s="31" t="n">
        <x:f>IF(B5&gt;0,B17/B5,0)</x:f>
        <x:v>2250</x:v>
      </x:c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</x:sheetData>
  <x:mergeCells>
    <x:mergeCell ref="A1:F1"/>
  </x:mergeCells>
  <x:conditionalFormatting sqref="B13:B13">
    <x:cfRule type="expression" dxfId="0" priority="1">
      <x:formula>B13="BLACK"</x:formula>
    </x:cfRule>
    <x:cfRule type="expression" dxfId="1" priority="2">
      <x:formula>B13="YELLOW"</x:formula>
    </x:cfRule>
    <x:cfRule type="expression" dxfId="2" priority="3">
      <x:formula>B13="RED"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5" t="str">
        <x:v>Monthly Team Budget &amp; Actual Costs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3">
      <x:c r="A3" s="14" t="str">
        <x:v>Category</x:v>
      </x:c>
      <x:c r="B3" s="14" t="str">
        <x:v>Jan Budget</x:v>
      </x:c>
      <x:c r="C3" s="14" t="str">
        <x:v>Jan Actual</x:v>
      </x:c>
      <x:c r="D3" s="14" t="str">
        <x:v>Feb Budget</x:v>
      </x:c>
      <x:c r="E3" s="14" t="str">
        <x:v>Feb Actual</x:v>
      </x:c>
      <x:c r="F3" s="14" t="str">
        <x:v>Mar Budget</x:v>
      </x:c>
      <x:c r="G3" s="14" t="str">
        <x:v>Mar Actual</x:v>
      </x:c>
      <x:c r="H3" s="14" t="str">
        <x:v>Apr Budget</x:v>
      </x:c>
      <x:c r="I3" s="14" t="str">
        <x:v>Apr Actual</x:v>
      </x:c>
      <x:c r="J3" s="14" t="str">
        <x:v>May Budget</x:v>
      </x:c>
      <x:c r="K3" s="14" t="str">
        <x:v>May Actual</x:v>
      </x:c>
      <x:c r="L3" s="14" t="str">
        <x:v>Jun Budget</x:v>
      </x:c>
      <x:c r="M3" s="14" t="str">
        <x:v>Jun Actual</x:v>
      </x:c>
      <x:c r="N3" s="14" t="str">
        <x:v>Jul Budget</x:v>
      </x:c>
      <x:c r="O3" s="14" t="str">
        <x:v>Jul Actual</x:v>
      </x:c>
      <x:c r="P3" s="14" t="str">
        <x:v>Aug Budget</x:v>
      </x:c>
      <x:c r="Q3" s="14" t="str">
        <x:v>Aug Actual</x:v>
      </x:c>
      <x:c r="R3" s="14" t="str">
        <x:v>Sep Budget</x:v>
      </x:c>
      <x:c r="S3" s="14" t="str">
        <x:v>Sep Actual</x:v>
      </x:c>
      <x:c r="T3" s="14" t="str">
        <x:v>Oct Budget</x:v>
      </x:c>
      <x:c r="U3" s="14" t="str">
        <x:v>Oct Actual</x:v>
      </x:c>
      <x:c r="V3" s="14" t="str">
        <x:v>Nov Budget</x:v>
      </x:c>
      <x:c r="W3" s="14" t="str">
        <x:v>Nov Actual</x:v>
      </x:c>
      <x:c r="X3" s="14" t="str">
        <x:v>Dec Budget</x:v>
      </x:c>
      <x:c r="Y3" s="14" t="str">
        <x:v>Dec Actual</x:v>
      </x:c>
      <x:c r="Z3" s="14" t="str">
        <x:v>Annual Budget</x:v>
      </x:c>
      <x:c r="AA3" s="14" t="str">
        <x:v>Annual Actual</x:v>
      </x:c>
      <x:c r="AB3" s="14" t="str">
        <x:v>Variance</x:v>
      </x:c>
    </x:row>
    <x:row r="4">
      <x:c r="A4" t="str">
        <x:v>Court Rental</x:v>
      </x:c>
      <x:c r="B4" s="24" t="n">
        <x:v>400</x:v>
      </x:c>
      <x:c r="C4" s="24"/>
      <x:c r="D4" s="24" t="n">
        <x:v>400</x:v>
      </x:c>
      <x:c r="E4" s="24"/>
      <x:c r="F4" s="24" t="n">
        <x:v>400</x:v>
      </x:c>
      <x:c r="G4" s="24"/>
      <x:c r="H4" s="24" t="n">
        <x:v>400</x:v>
      </x:c>
      <x:c r="I4" s="24"/>
      <x:c r="J4" s="24" t="n">
        <x:v>400</x:v>
      </x:c>
      <x:c r="K4" s="24"/>
      <x:c r="L4" s="24" t="n">
        <x:v>400</x:v>
      </x:c>
      <x:c r="M4" s="24"/>
      <x:c r="N4" s="24" t="n">
        <x:v>400</x:v>
      </x:c>
      <x:c r="O4" s="24"/>
      <x:c r="P4" s="24" t="n">
        <x:v>400</x:v>
      </x:c>
      <x:c r="Q4" s="24"/>
      <x:c r="R4" s="24" t="n">
        <x:v>400</x:v>
      </x:c>
      <x:c r="S4" s="24"/>
      <x:c r="T4" s="24" t="n">
        <x:v>400</x:v>
      </x:c>
      <x:c r="U4" s="24"/>
      <x:c r="V4" s="24" t="n">
        <x:v>400</x:v>
      </x:c>
      <x:c r="W4" s="24"/>
      <x:c r="X4" s="24" t="n">
        <x:v>400</x:v>
      </x:c>
      <x:c r="Y4" s="24"/>
      <x:c r="Z4" s="24" t="n">
        <x:f>B4+D4+F4+H4+J4+L4+N4+P4+R4+T4+V4+X4</x:f>
        <x:v>4800</x:v>
      </x:c>
      <x:c r="AA4" s="24" t="n">
        <x:f>C4+E4+G4+I4+K4+M4+O4+Q4+S4+U4+W4+Y4</x:f>
        <x:v>0</x:v>
      </x:c>
      <x:c r="AB4" s="24" t="n">
        <x:f>Z4-AA4</x:f>
        <x:v>4800</x:v>
      </x:c>
    </x:row>
    <x:row r="5">
      <x:c r="A5" t="str">
        <x:v>Coaching</x:v>
      </x:c>
      <x:c r="B5" s="24" t="n">
        <x:v>400</x:v>
      </x:c>
      <x:c r="C5" s="24"/>
      <x:c r="D5" s="24" t="n">
        <x:v>400</x:v>
      </x:c>
      <x:c r="E5" s="24"/>
      <x:c r="F5" s="24" t="n">
        <x:v>400</x:v>
      </x:c>
      <x:c r="G5" s="24"/>
      <x:c r="H5" s="24" t="n">
        <x:v>400</x:v>
      </x:c>
      <x:c r="I5" s="24"/>
      <x:c r="J5" s="24" t="n">
        <x:v>400</x:v>
      </x:c>
      <x:c r="K5" s="24"/>
      <x:c r="L5" s="24" t="n">
        <x:v>400</x:v>
      </x:c>
      <x:c r="M5" s="24"/>
      <x:c r="N5" s="24" t="n">
        <x:v>400</x:v>
      </x:c>
      <x:c r="O5" s="24"/>
      <x:c r="P5" s="24" t="n">
        <x:v>400</x:v>
      </x:c>
      <x:c r="Q5" s="24"/>
      <x:c r="R5" s="24" t="n">
        <x:v>400</x:v>
      </x:c>
      <x:c r="S5" s="24"/>
      <x:c r="T5" s="24" t="n">
        <x:v>400</x:v>
      </x:c>
      <x:c r="U5" s="24"/>
      <x:c r="V5" s="24" t="n">
        <x:v>400</x:v>
      </x:c>
      <x:c r="W5" s="24"/>
      <x:c r="X5" s="24" t="n">
        <x:v>400</x:v>
      </x:c>
      <x:c r="Y5" s="24"/>
      <x:c r="Z5" s="24" t="n">
        <x:f>B5+D5+F5+H5+J5+L5+N5+P5+R5+T5+V5+X5</x:f>
        <x:v>4800</x:v>
      </x:c>
      <x:c r="AA5" s="24" t="n">
        <x:f>C5+E5+G5+I5+K5+M5+O5+Q5+S5+U5+W5+Y5</x:f>
        <x:v>0</x:v>
      </x:c>
      <x:c r="AB5" s="24" t="n">
        <x:f>Z5-AA5</x:f>
        <x:v>4800</x:v>
      </x:c>
    </x:row>
    <x:row r="6">
      <x:c r="A6" t="str">
        <x:v>Administration</x:v>
      </x:c>
      <x:c r="B6" s="24" t="n">
        <x:v>100</x:v>
      </x:c>
      <x:c r="C6" s="24"/>
      <x:c r="D6" s="24" t="n">
        <x:v>100</x:v>
      </x:c>
      <x:c r="E6" s="24"/>
      <x:c r="F6" s="24" t="n">
        <x:v>100</x:v>
      </x:c>
      <x:c r="G6" s="24"/>
      <x:c r="H6" s="24" t="n">
        <x:v>100</x:v>
      </x:c>
      <x:c r="I6" s="24"/>
      <x:c r="J6" s="24" t="n">
        <x:v>100</x:v>
      </x:c>
      <x:c r="K6" s="24"/>
      <x:c r="L6" s="24" t="n">
        <x:v>100</x:v>
      </x:c>
      <x:c r="M6" s="24"/>
      <x:c r="N6" s="24" t="n">
        <x:v>100</x:v>
      </x:c>
      <x:c r="O6" s="24"/>
      <x:c r="P6" s="24" t="n">
        <x:v>100</x:v>
      </x:c>
      <x:c r="Q6" s="24"/>
      <x:c r="R6" s="24" t="n">
        <x:v>100</x:v>
      </x:c>
      <x:c r="S6" s="24"/>
      <x:c r="T6" s="24" t="n">
        <x:v>100</x:v>
      </x:c>
      <x:c r="U6" s="24"/>
      <x:c r="V6" s="24" t="n">
        <x:v>100</x:v>
      </x:c>
      <x:c r="W6" s="24"/>
      <x:c r="X6" s="24" t="n">
        <x:v>100</x:v>
      </x:c>
      <x:c r="Y6" s="24"/>
      <x:c r="Z6" s="24" t="n">
        <x:f>B6+D6+F6+H6+J6+L6+N6+P6+R6+T6+V6+X6</x:f>
        <x:v>1200</x:v>
      </x:c>
      <x:c r="AA6" s="24" t="n">
        <x:f>C6+E6+G6+I6+K6+M6+O6+Q6+S6+U6+W6+Y6</x:f>
        <x:v>0</x:v>
      </x:c>
      <x:c r="AB6" s="24" t="n">
        <x:f>Z6-AA6</x:f>
        <x:v>1200</x:v>
      </x:c>
    </x:row>
    <x:row r="7">
      <x:c r="A7" t="str">
        <x:v>Tournaments / Leagues</x:v>
      </x:c>
      <x:c r="B7" s="24" t="n">
        <x:v>300</x:v>
      </x:c>
      <x:c r="C7" s="24"/>
      <x:c r="D7" s="24" t="n">
        <x:v>300</x:v>
      </x:c>
      <x:c r="E7" s="24"/>
      <x:c r="F7" s="24" t="n">
        <x:v>300</x:v>
      </x:c>
      <x:c r="G7" s="24"/>
      <x:c r="H7" s="24" t="n">
        <x:v>300</x:v>
      </x:c>
      <x:c r="I7" s="24"/>
      <x:c r="J7" s="24" t="n">
        <x:v>300</x:v>
      </x:c>
      <x:c r="K7" s="24"/>
      <x:c r="L7" s="24" t="n">
        <x:v>300</x:v>
      </x:c>
      <x:c r="M7" s="24"/>
      <x:c r="N7" s="24" t="n">
        <x:v>300</x:v>
      </x:c>
      <x:c r="O7" s="24"/>
      <x:c r="P7" s="24" t="n">
        <x:v>300</x:v>
      </x:c>
      <x:c r="Q7" s="24"/>
      <x:c r="R7" s="24" t="n">
        <x:v>300</x:v>
      </x:c>
      <x:c r="S7" s="24"/>
      <x:c r="T7" s="24" t="n">
        <x:v>300</x:v>
      </x:c>
      <x:c r="U7" s="24"/>
      <x:c r="V7" s="24" t="n">
        <x:v>300</x:v>
      </x:c>
      <x:c r="W7" s="24"/>
      <x:c r="X7" s="24" t="n">
        <x:v>300</x:v>
      </x:c>
      <x:c r="Y7" s="24"/>
      <x:c r="Z7" s="24" t="n">
        <x:f>B7+D7+F7+H7+J7+L7+N7+P7+R7+T7+V7+X7</x:f>
        <x:v>3600</x:v>
      </x:c>
      <x:c r="AA7" s="24" t="n">
        <x:f>C7+E7+G7+I7+K7+M7+O7+Q7+S7+U7+W7+Y7</x:f>
        <x:v>0</x:v>
      </x:c>
      <x:c r="AB7" s="24" t="n">
        <x:f>Z7-AA7</x:f>
        <x:v>3600</x:v>
      </x:c>
    </x:row>
    <x:row r="8">
      <x:c r="A8" t="str">
        <x:v>Travel</x:v>
      </x:c>
      <x:c r="B8" s="24" t="n">
        <x:v>100</x:v>
      </x:c>
      <x:c r="C8" s="24"/>
      <x:c r="D8" s="24" t="n">
        <x:v>100</x:v>
      </x:c>
      <x:c r="E8" s="24"/>
      <x:c r="F8" s="24" t="n">
        <x:v>100</x:v>
      </x:c>
      <x:c r="G8" s="24"/>
      <x:c r="H8" s="24" t="n">
        <x:v>100</x:v>
      </x:c>
      <x:c r="I8" s="24"/>
      <x:c r="J8" s="24" t="n">
        <x:v>100</x:v>
      </x:c>
      <x:c r="K8" s="24"/>
      <x:c r="L8" s="24" t="n">
        <x:v>100</x:v>
      </x:c>
      <x:c r="M8" s="24"/>
      <x:c r="N8" s="24" t="n">
        <x:v>100</x:v>
      </x:c>
      <x:c r="O8" s="24"/>
      <x:c r="P8" s="24" t="n">
        <x:v>100</x:v>
      </x:c>
      <x:c r="Q8" s="24"/>
      <x:c r="R8" s="24" t="n">
        <x:v>100</x:v>
      </x:c>
      <x:c r="S8" s="24"/>
      <x:c r="T8" s="24" t="n">
        <x:v>100</x:v>
      </x:c>
      <x:c r="U8" s="24"/>
      <x:c r="V8" s="24" t="n">
        <x:v>100</x:v>
      </x:c>
      <x:c r="W8" s="24"/>
      <x:c r="X8" s="24" t="n">
        <x:v>100</x:v>
      </x:c>
      <x:c r="Y8" s="24"/>
      <x:c r="Z8" s="24" t="n">
        <x:f>B8+D8+F8+H8+J8+L8+N8+P8+R8+T8+V8+X8</x:f>
        <x:v>1200</x:v>
      </x:c>
      <x:c r="AA8" s="24" t="n">
        <x:f>C8+E8+G8+I8+K8+M8+O8+Q8+S8+U8+W8+Y8</x:f>
        <x:v>0</x:v>
      </x:c>
      <x:c r="AB8" s="24" t="n">
        <x:f>Z8-AA8</x:f>
        <x:v>1200</x:v>
      </x:c>
    </x:row>
    <x:row r="9">
      <x:c r="A9" t="str">
        <x:v>Uniforms</x:v>
      </x:c>
      <x:c r="B9" s="24" t="n">
        <x:v>75</x:v>
      </x:c>
      <x:c r="C9" s="24"/>
      <x:c r="D9" s="24" t="n">
        <x:v>75</x:v>
      </x:c>
      <x:c r="E9" s="24"/>
      <x:c r="F9" s="24" t="n">
        <x:v>75</x:v>
      </x:c>
      <x:c r="G9" s="24"/>
      <x:c r="H9" s="24" t="n">
        <x:v>75</x:v>
      </x:c>
      <x:c r="I9" s="24"/>
      <x:c r="J9" s="24" t="n">
        <x:v>75</x:v>
      </x:c>
      <x:c r="K9" s="24"/>
      <x:c r="L9" s="24" t="n">
        <x:v>75</x:v>
      </x:c>
      <x:c r="M9" s="24"/>
      <x:c r="N9" s="24" t="n">
        <x:v>75</x:v>
      </x:c>
      <x:c r="O9" s="24"/>
      <x:c r="P9" s="24" t="n">
        <x:v>75</x:v>
      </x:c>
      <x:c r="Q9" s="24"/>
      <x:c r="R9" s="24" t="n">
        <x:v>75</x:v>
      </x:c>
      <x:c r="S9" s="24"/>
      <x:c r="T9" s="24" t="n">
        <x:v>75</x:v>
      </x:c>
      <x:c r="U9" s="24"/>
      <x:c r="V9" s="24" t="n">
        <x:v>75</x:v>
      </x:c>
      <x:c r="W9" s="24"/>
      <x:c r="X9" s="24" t="n">
        <x:v>75</x:v>
      </x:c>
      <x:c r="Y9" s="24"/>
      <x:c r="Z9" s="24" t="n">
        <x:f>B9+D9+F9+H9+J9+L9+N9+P9+R9+T9+V9+X9</x:f>
        <x:v>900</x:v>
      </x:c>
      <x:c r="AA9" s="24" t="n">
        <x:f>C9+E9+G9+I9+K9+M9+O9+Q9+S9+U9+W9+Y9</x:f>
        <x:v>0</x:v>
      </x:c>
      <x:c r="AB9" s="24" t="n">
        <x:f>Z9-AA9</x:f>
        <x:v>900</x:v>
      </x:c>
    </x:row>
    <x:row r="10">
      <x:c r="A10" t="str">
        <x:v>Insurance</x:v>
      </x:c>
      <x:c r="B10" s="24" t="n">
        <x:v>50</x:v>
      </x:c>
      <x:c r="C10" s="24"/>
      <x:c r="D10" s="24" t="n">
        <x:v>50</x:v>
      </x:c>
      <x:c r="E10" s="24"/>
      <x:c r="F10" s="24" t="n">
        <x:v>50</x:v>
      </x:c>
      <x:c r="G10" s="24"/>
      <x:c r="H10" s="24" t="n">
        <x:v>50</x:v>
      </x:c>
      <x:c r="I10" s="24"/>
      <x:c r="J10" s="24" t="n">
        <x:v>50</x:v>
      </x:c>
      <x:c r="K10" s="24"/>
      <x:c r="L10" s="24" t="n">
        <x:v>50</x:v>
      </x:c>
      <x:c r="M10" s="24"/>
      <x:c r="N10" s="24" t="n">
        <x:v>50</x:v>
      </x:c>
      <x:c r="O10" s="24"/>
      <x:c r="P10" s="24" t="n">
        <x:v>50</x:v>
      </x:c>
      <x:c r="Q10" s="24"/>
      <x:c r="R10" s="24" t="n">
        <x:v>50</x:v>
      </x:c>
      <x:c r="S10" s="24"/>
      <x:c r="T10" s="24" t="n">
        <x:v>50</x:v>
      </x:c>
      <x:c r="U10" s="24"/>
      <x:c r="V10" s="24" t="n">
        <x:v>50</x:v>
      </x:c>
      <x:c r="W10" s="24"/>
      <x:c r="X10" s="24" t="n">
        <x:v>50</x:v>
      </x:c>
      <x:c r="Y10" s="24"/>
      <x:c r="Z10" s="24" t="n">
        <x:f>B10+D10+F10+H10+J10+L10+N10+P10+R10+T10+V10+X10</x:f>
        <x:v>600</x:v>
      </x:c>
      <x:c r="AA10" s="24" t="n">
        <x:f>C10+E10+G10+I10+K10+M10+O10+Q10+S10+U10+W10+Y10</x:f>
        <x:v>0</x:v>
      </x:c>
      <x:c r="AB10" s="24" t="n">
        <x:f>Z10-AA10</x:f>
        <x:v>600</x:v>
      </x:c>
    </x:row>
    <x:row r="11">
      <x:c r="A11" t="str">
        <x:v>Equipment</x:v>
      </x:c>
      <x:c r="B11" s="24" t="n">
        <x:v>50</x:v>
      </x:c>
      <x:c r="C11" s="24"/>
      <x:c r="D11" s="24" t="n">
        <x:v>50</x:v>
      </x:c>
      <x:c r="E11" s="24"/>
      <x:c r="F11" s="24" t="n">
        <x:v>50</x:v>
      </x:c>
      <x:c r="G11" s="24"/>
      <x:c r="H11" s="24" t="n">
        <x:v>50</x:v>
      </x:c>
      <x:c r="I11" s="24"/>
      <x:c r="J11" s="24" t="n">
        <x:v>50</x:v>
      </x:c>
      <x:c r="K11" s="24"/>
      <x:c r="L11" s="24" t="n">
        <x:v>50</x:v>
      </x:c>
      <x:c r="M11" s="24"/>
      <x:c r="N11" s="24" t="n">
        <x:v>50</x:v>
      </x:c>
      <x:c r="O11" s="24"/>
      <x:c r="P11" s="24" t="n">
        <x:v>50</x:v>
      </x:c>
      <x:c r="Q11" s="24"/>
      <x:c r="R11" s="24" t="n">
        <x:v>50</x:v>
      </x:c>
      <x:c r="S11" s="24"/>
      <x:c r="T11" s="24" t="n">
        <x:v>50</x:v>
      </x:c>
      <x:c r="U11" s="24"/>
      <x:c r="V11" s="24" t="n">
        <x:v>50</x:v>
      </x:c>
      <x:c r="W11" s="24"/>
      <x:c r="X11" s="24" t="n">
        <x:v>50</x:v>
      </x:c>
      <x:c r="Y11" s="24"/>
      <x:c r="Z11" s="24" t="n">
        <x:f>B11+D11+F11+H11+J11+L11+N11+P11+R11+T11+V11+X11</x:f>
        <x:v>600</x:v>
      </x:c>
      <x:c r="AA11" s="24" t="n">
        <x:f>C11+E11+G11+I11+K11+M11+O11+Q11+S11+U11+W11+Y11</x:f>
        <x:v>0</x:v>
      </x:c>
      <x:c r="AB11" s="24" t="n">
        <x:f>Z11-AA11</x:f>
        <x:v>600</x:v>
      </x:c>
    </x:row>
    <x:row r="12">
      <x:c r="A12" t="str">
        <x:v>Other</x:v>
      </x:c>
      <x:c r="B12" s="24" t="n">
        <x:v>25</x:v>
      </x:c>
      <x:c r="C12" s="24"/>
      <x:c r="D12" s="24" t="n">
        <x:v>25</x:v>
      </x:c>
      <x:c r="E12" s="24"/>
      <x:c r="F12" s="24" t="n">
        <x:v>25</x:v>
      </x:c>
      <x:c r="G12" s="24"/>
      <x:c r="H12" s="24" t="n">
        <x:v>25</x:v>
      </x:c>
      <x:c r="I12" s="24"/>
      <x:c r="J12" s="24" t="n">
        <x:v>25</x:v>
      </x:c>
      <x:c r="K12" s="24"/>
      <x:c r="L12" s="24" t="n">
        <x:v>25</x:v>
      </x:c>
      <x:c r="M12" s="24"/>
      <x:c r="N12" s="24" t="n">
        <x:v>25</x:v>
      </x:c>
      <x:c r="O12" s="24"/>
      <x:c r="P12" s="24" t="n">
        <x:v>25</x:v>
      </x:c>
      <x:c r="Q12" s="24"/>
      <x:c r="R12" s="24" t="n">
        <x:v>25</x:v>
      </x:c>
      <x:c r="S12" s="24"/>
      <x:c r="T12" s="24" t="n">
        <x:v>25</x:v>
      </x:c>
      <x:c r="U12" s="24"/>
      <x:c r="V12" s="24" t="n">
        <x:v>25</x:v>
      </x:c>
      <x:c r="W12" s="24"/>
      <x:c r="X12" s="24" t="n">
        <x:v>25</x:v>
      </x:c>
      <x:c r="Y12" s="24"/>
      <x:c r="Z12" s="24" t="n">
        <x:f>B12+D12+F12+H12+J12+L12+N12+P12+R12+T12+V12+X12</x:f>
        <x:v>300</x:v>
      </x:c>
      <x:c r="AA12" s="24" t="n">
        <x:f>C12+E12+G12+I12+K12+M12+O12+Q12+S12+U12+W12+Y12</x:f>
        <x:v>0</x:v>
      </x:c>
      <x:c r="AB12" s="24" t="n">
        <x:f>Z12-AA12</x:f>
        <x:v>300</x:v>
      </x:c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  <x:c r="AA13" s="24"/>
      <x:c r="AB13" s="24"/>
    </x:row>
    <x:row r="14">
      <x:c r="A14" s="22" t="str">
        <x:v>TOTAL</x:v>
      </x:c>
      <x:c r="B14" s="26" t="n">
        <x:f>SUM(B4:B12)</x:f>
        <x:v>1500</x:v>
      </x:c>
      <x:c r="C14" s="26" t="n">
        <x:f>SUM(C4:C12)</x:f>
        <x:v>0</x:v>
      </x:c>
      <x:c r="D14" s="26" t="n">
        <x:f>SUM(D4:D12)</x:f>
        <x:v>1500</x:v>
      </x:c>
      <x:c r="E14" s="26" t="n">
        <x:f>SUM(E4:E12)</x:f>
        <x:v>0</x:v>
      </x:c>
      <x:c r="F14" s="26" t="n">
        <x:f>SUM(F4:F12)</x:f>
        <x:v>1500</x:v>
      </x:c>
      <x:c r="G14" s="26" t="n">
        <x:f>SUM(G4:G12)</x:f>
        <x:v>0</x:v>
      </x:c>
      <x:c r="H14" s="26" t="n">
        <x:f>SUM(H4:H12)</x:f>
        <x:v>1500</x:v>
      </x:c>
      <x:c r="I14" s="26" t="n">
        <x:f>SUM(I4:I12)</x:f>
        <x:v>0</x:v>
      </x:c>
      <x:c r="J14" s="26" t="n">
        <x:f>SUM(J4:J12)</x:f>
        <x:v>1500</x:v>
      </x:c>
      <x:c r="K14" s="26" t="n">
        <x:f>SUM(K4:K12)</x:f>
        <x:v>0</x:v>
      </x:c>
      <x:c r="L14" s="26" t="n">
        <x:f>SUM(L4:L12)</x:f>
        <x:v>1500</x:v>
      </x:c>
      <x:c r="M14" s="26" t="n">
        <x:f>SUM(M4:M12)</x:f>
        <x:v>0</x:v>
      </x:c>
      <x:c r="N14" s="26" t="n">
        <x:f>SUM(N4:N12)</x:f>
        <x:v>1500</x:v>
      </x:c>
      <x:c r="O14" s="26" t="n">
        <x:f>SUM(O4:O12)</x:f>
        <x:v>0</x:v>
      </x:c>
      <x:c r="P14" s="26" t="n">
        <x:f>SUM(P4:P12)</x:f>
        <x:v>1500</x:v>
      </x:c>
      <x:c r="Q14" s="26" t="n">
        <x:f>SUM(Q4:Q12)</x:f>
        <x:v>0</x:v>
      </x:c>
      <x:c r="R14" s="26" t="n">
        <x:f>SUM(R4:R12)</x:f>
        <x:v>1500</x:v>
      </x:c>
      <x:c r="S14" s="26" t="n">
        <x:f>SUM(S4:S12)</x:f>
        <x:v>0</x:v>
      </x:c>
      <x:c r="T14" s="26" t="n">
        <x:f>SUM(T4:T12)</x:f>
        <x:v>1500</x:v>
      </x:c>
      <x:c r="U14" s="26" t="n">
        <x:f>SUM(U4:U12)</x:f>
        <x:v>0</x:v>
      </x:c>
      <x:c r="V14" s="26" t="n">
        <x:f>SUM(V4:V12)</x:f>
        <x:v>1500</x:v>
      </x:c>
      <x:c r="W14" s="26" t="n">
        <x:f>SUM(W4:W12)</x:f>
        <x:v>0</x:v>
      </x:c>
      <x:c r="X14" s="26" t="n">
        <x:f>SUM(X4:X12)</x:f>
        <x:v>1500</x:v>
      </x:c>
      <x:c r="Y14" s="26" t="n">
        <x:f>SUM(Y4:Y12)</x:f>
        <x:v>0</x:v>
      </x:c>
      <x:c r="Z14" s="26" t="n">
        <x:f>SUM(Z4:Z12)</x:f>
        <x:v>18000</x:v>
      </x:c>
      <x:c r="AA14" s="26" t="n">
        <x:f>SUM(AA4:AA12)</x:f>
        <x:v>0</x:v>
      </x:c>
      <x:c r="AB14" s="26" t="n">
        <x:f>SUM(AB4:AB12)</x:f>
        <x:v>18000</x:v>
      </x:c>
    </x:row>
  </x:sheetData>
  <x:mergeCells>
    <x:mergeCell ref="A1:AB1"/>
  </x:mergeCells>
  <x:pageMargins left="0.7" right="0.7" top="0.75" bottom="0.75" header="0.3" footer="0.3"/>
  <x:drawing xmlns:r="http://schemas.openxmlformats.org/officeDocument/2006/relationships" r:id="Rfe87fe40ebbb48bb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</x:cols>
  <x:sheetData>
    <x:row r="1">
      <x:c r="A1" s="36" t="str">
        <x:v>Player Cost Allocation &amp; Payment Tracking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</x:row>
    <x:row r="3">
      <x:c r="A3" s="41" t="str">
        <x:v>Player</x:v>
      </x:c>
      <x:c r="B3" s="41" t="str">
        <x:v>Team</x:v>
      </x:c>
      <x:c r="C3" s="41" t="str">
        <x:v>Season Fee</x:v>
      </x:c>
      <x:c r="D3" s="41" t="str">
        <x:v>Court Rental</x:v>
      </x:c>
      <x:c r="E3" s="41" t="str">
        <x:v>Coaching</x:v>
      </x:c>
      <x:c r="F3" s="41" t="str">
        <x:v>Administration</x:v>
      </x:c>
      <x:c r="G3" s="41" t="str">
        <x:v>Tournaments / Leagues</x:v>
      </x:c>
      <x:c r="H3" s="41" t="str">
        <x:v>Travel</x:v>
      </x:c>
      <x:c r="I3" s="41" t="str">
        <x:v>Uniforms</x:v>
      </x:c>
      <x:c r="J3" s="41" t="str">
        <x:v>Insurance</x:v>
      </x:c>
      <x:c r="K3" s="41" t="str">
        <x:v>Equipment</x:v>
      </x:c>
      <x:c r="L3" s="41" t="str">
        <x:v>Other</x:v>
      </x:c>
      <x:c r="M3" s="41" t="str">
        <x:v>Donations Applied</x:v>
      </x:c>
      <x:c r="N3" s="41" t="str">
        <x:v>Payments Received</x:v>
      </x:c>
      <x:c r="O3" s="41" t="str">
        <x:v>Credits / Scholarships</x:v>
      </x:c>
      <x:c r="P3" s="41" t="str">
        <x:v>Balance</x:v>
      </x:c>
      <x:c r="Q3" s="41" t="str">
        <x:v>Status</x:v>
      </x:c>
    </x:row>
    <x:row r="4">
      <x:c r="A4" t="str">
        <x:v>Player 1</x:v>
      </x:c>
      <x:c r="B4" t="str">
        <x:v>Team A</x:v>
      </x:c>
      <x:c r="C4" s="24" t="n">
        <x:f>Dashboard!$B$18</x:f>
        <x:v>2250</x:v>
      </x:c>
      <x:c r="D4" s="24" t="n">
        <x:f>IF(Dashboard!$B$5&gt;0,'Monthly Budget'!$Z$4/Dashboard!$B$5,0)</x:f>
        <x:v>600</x:v>
      </x:c>
      <x:c r="E4" s="24" t="n">
        <x:f>IF(Dashboard!$B$5&gt;0,'Monthly Budget'!$Z$5/Dashboard!$B$5,0)</x:f>
        <x:v>600</x:v>
      </x:c>
      <x:c r="F4" s="24" t="n">
        <x:f>IF(Dashboard!$B$5&gt;0,'Monthly Budget'!$Z$6/Dashboard!$B$5,0)</x:f>
        <x:v>150</x:v>
      </x:c>
      <x:c r="G4" s="24" t="n">
        <x:f>IF(Dashboard!$B$5&gt;0,'Monthly Budget'!$Z$7/Dashboard!$B$5,0)</x:f>
        <x:v>450</x:v>
      </x:c>
      <x:c r="H4" s="24" t="n">
        <x:f>IF(Dashboard!$B$5&gt;0,'Monthly Budget'!$Z$8/Dashboard!$B$5,0)</x:f>
        <x:v>150</x:v>
      </x:c>
      <x:c r="I4" s="24" t="n">
        <x:f>IF(Dashboard!$B$5&gt;0,'Monthly Budget'!$Z$9/Dashboard!$B$5,0)</x:f>
        <x:v>112.5</x:v>
      </x:c>
      <x:c r="J4" s="24" t="n">
        <x:f>IF(Dashboard!$B$5&gt;0,'Monthly Budget'!$Z$10/Dashboard!$B$5,0)</x:f>
        <x:v>75</x:v>
      </x:c>
      <x:c r="K4" s="24" t="n">
        <x:f>IF(Dashboard!$B$5&gt;0,'Monthly Budget'!$Z$11/Dashboard!$B$5,0)</x:f>
        <x:v>75</x:v>
      </x:c>
      <x:c r="L4" s="24" t="n">
        <x:f>IF(Dashboard!$B$5&gt;0,'Monthly Budget'!$Z$12/Dashboard!$B$5,0)</x:f>
        <x:v>37.5</x:v>
      </x:c>
      <x:c r="M4" s="24" t="n">
        <x:v>0</x:v>
      </x:c>
      <x:c r="N4" s="24" t="n">
        <x:v>0</x:v>
      </x:c>
      <x:c r="O4" s="24" t="n">
        <x:v>0</x:v>
      </x:c>
      <x:c r="P4" s="24" t="n">
        <x:f>MAX(0,C4-M4-N4-O4)</x:f>
        <x:v>2250</x:v>
      </x:c>
      <x:c r="Q4" t="str">
        <x:f>IF(P4=0,"PAID IN FULL",IF(N4+M4+O4&gt;0,"CURRENT","DUE"))</x:f>
        <x:v>DUE</x:v>
      </x:c>
    </x:row>
    <x:row r="5">
      <x:c r="A5" t="str">
        <x:v>Player 2</x:v>
      </x:c>
      <x:c r="B5" t="str">
        <x:v>Team A</x:v>
      </x:c>
      <x:c r="C5" s="24" t="n">
        <x:f>Dashboard!$B$18</x:f>
        <x:v>2250</x:v>
      </x:c>
      <x:c r="D5" s="24" t="n">
        <x:f>IF(Dashboard!$B$5&gt;0,'Monthly Budget'!$Z$4/Dashboard!$B$5,0)</x:f>
        <x:v>600</x:v>
      </x:c>
      <x:c r="E5" s="24" t="n">
        <x:f>IF(Dashboard!$B$5&gt;0,'Monthly Budget'!$Z$5/Dashboard!$B$5,0)</x:f>
        <x:v>600</x:v>
      </x:c>
      <x:c r="F5" s="24" t="n">
        <x:f>IF(Dashboard!$B$5&gt;0,'Monthly Budget'!$Z$6/Dashboard!$B$5,0)</x:f>
        <x:v>150</x:v>
      </x:c>
      <x:c r="G5" s="24" t="n">
        <x:f>IF(Dashboard!$B$5&gt;0,'Monthly Budget'!$Z$7/Dashboard!$B$5,0)</x:f>
        <x:v>450</x:v>
      </x:c>
      <x:c r="H5" s="24" t="n">
        <x:f>IF(Dashboard!$B$5&gt;0,'Monthly Budget'!$Z$8/Dashboard!$B$5,0)</x:f>
        <x:v>150</x:v>
      </x:c>
      <x:c r="I5" s="24" t="n">
        <x:f>IF(Dashboard!$B$5&gt;0,'Monthly Budget'!$Z$9/Dashboard!$B$5,0)</x:f>
        <x:v>112.5</x:v>
      </x:c>
      <x:c r="J5" s="24" t="n">
        <x:f>IF(Dashboard!$B$5&gt;0,'Monthly Budget'!$Z$10/Dashboard!$B$5,0)</x:f>
        <x:v>75</x:v>
      </x:c>
      <x:c r="K5" s="24" t="n">
        <x:f>IF(Dashboard!$B$5&gt;0,'Monthly Budget'!$Z$11/Dashboard!$B$5,0)</x:f>
        <x:v>75</x:v>
      </x:c>
      <x:c r="L5" s="24" t="n">
        <x:f>IF(Dashboard!$B$5&gt;0,'Monthly Budget'!$Z$12/Dashboard!$B$5,0)</x:f>
        <x:v>37.5</x:v>
      </x:c>
      <x:c r="M5" s="24" t="n">
        <x:v>0</x:v>
      </x:c>
      <x:c r="N5" s="24" t="n">
        <x:v>0</x:v>
      </x:c>
      <x:c r="O5" s="24" t="n">
        <x:v>0</x:v>
      </x:c>
      <x:c r="P5" s="24" t="n">
        <x:f>MAX(0,C5-M5-N5-O5)</x:f>
        <x:v>2250</x:v>
      </x:c>
      <x:c r="Q5" t="str">
        <x:f>IF(P5=0,"PAID IN FULL",IF(N5+M5+O5&gt;0,"CURRENT","DUE"))</x:f>
        <x:v>DUE</x:v>
      </x:c>
    </x:row>
    <x:row r="6">
      <x:c r="A6" t="str">
        <x:v>Player 3</x:v>
      </x:c>
      <x:c r="B6" t="str">
        <x:v>Team A</x:v>
      </x:c>
      <x:c r="C6" s="24" t="n">
        <x:f>Dashboard!$B$18</x:f>
        <x:v>2250</x:v>
      </x:c>
      <x:c r="D6" s="24" t="n">
        <x:f>IF(Dashboard!$B$5&gt;0,'Monthly Budget'!$Z$4/Dashboard!$B$5,0)</x:f>
        <x:v>600</x:v>
      </x:c>
      <x:c r="E6" s="24" t="n">
        <x:f>IF(Dashboard!$B$5&gt;0,'Monthly Budget'!$Z$5/Dashboard!$B$5,0)</x:f>
        <x:v>600</x:v>
      </x:c>
      <x:c r="F6" s="24" t="n">
        <x:f>IF(Dashboard!$B$5&gt;0,'Monthly Budget'!$Z$6/Dashboard!$B$5,0)</x:f>
        <x:v>150</x:v>
      </x:c>
      <x:c r="G6" s="24" t="n">
        <x:f>IF(Dashboard!$B$5&gt;0,'Monthly Budget'!$Z$7/Dashboard!$B$5,0)</x:f>
        <x:v>450</x:v>
      </x:c>
      <x:c r="H6" s="24" t="n">
        <x:f>IF(Dashboard!$B$5&gt;0,'Monthly Budget'!$Z$8/Dashboard!$B$5,0)</x:f>
        <x:v>150</x:v>
      </x:c>
      <x:c r="I6" s="24" t="n">
        <x:f>IF(Dashboard!$B$5&gt;0,'Monthly Budget'!$Z$9/Dashboard!$B$5,0)</x:f>
        <x:v>112.5</x:v>
      </x:c>
      <x:c r="J6" s="24" t="n">
        <x:f>IF(Dashboard!$B$5&gt;0,'Monthly Budget'!$Z$10/Dashboard!$B$5,0)</x:f>
        <x:v>75</x:v>
      </x:c>
      <x:c r="K6" s="24" t="n">
        <x:f>IF(Dashboard!$B$5&gt;0,'Monthly Budget'!$Z$11/Dashboard!$B$5,0)</x:f>
        <x:v>75</x:v>
      </x:c>
      <x:c r="L6" s="24" t="n">
        <x:f>IF(Dashboard!$B$5&gt;0,'Monthly Budget'!$Z$12/Dashboard!$B$5,0)</x:f>
        <x:v>37.5</x:v>
      </x:c>
      <x:c r="M6" s="24" t="n">
        <x:v>0</x:v>
      </x:c>
      <x:c r="N6" s="24" t="n">
        <x:v>0</x:v>
      </x:c>
      <x:c r="O6" s="24" t="n">
        <x:v>0</x:v>
      </x:c>
      <x:c r="P6" s="24" t="n">
        <x:f>MAX(0,C6-M6-N6-O6)</x:f>
        <x:v>2250</x:v>
      </x:c>
      <x:c r="Q6" t="str">
        <x:f>IF(P6=0,"PAID IN FULL",IF(N6+M6+O6&gt;0,"CURRENT","DUE"))</x:f>
        <x:v>DUE</x:v>
      </x:c>
    </x:row>
    <x:row r="7">
      <x:c r="A7" t="str">
        <x:v>Player 4</x:v>
      </x:c>
      <x:c r="B7" t="str">
        <x:v>Team A</x:v>
      </x:c>
      <x:c r="C7" s="24" t="n">
        <x:f>Dashboard!$B$18</x:f>
        <x:v>2250</x:v>
      </x:c>
      <x:c r="D7" s="24" t="n">
        <x:f>IF(Dashboard!$B$5&gt;0,'Monthly Budget'!$Z$4/Dashboard!$B$5,0)</x:f>
        <x:v>600</x:v>
      </x:c>
      <x:c r="E7" s="24" t="n">
        <x:f>IF(Dashboard!$B$5&gt;0,'Monthly Budget'!$Z$5/Dashboard!$B$5,0)</x:f>
        <x:v>600</x:v>
      </x:c>
      <x:c r="F7" s="24" t="n">
        <x:f>IF(Dashboard!$B$5&gt;0,'Monthly Budget'!$Z$6/Dashboard!$B$5,0)</x:f>
        <x:v>150</x:v>
      </x:c>
      <x:c r="G7" s="24" t="n">
        <x:f>IF(Dashboard!$B$5&gt;0,'Monthly Budget'!$Z$7/Dashboard!$B$5,0)</x:f>
        <x:v>450</x:v>
      </x:c>
      <x:c r="H7" s="24" t="n">
        <x:f>IF(Dashboard!$B$5&gt;0,'Monthly Budget'!$Z$8/Dashboard!$B$5,0)</x:f>
        <x:v>150</x:v>
      </x:c>
      <x:c r="I7" s="24" t="n">
        <x:f>IF(Dashboard!$B$5&gt;0,'Monthly Budget'!$Z$9/Dashboard!$B$5,0)</x:f>
        <x:v>112.5</x:v>
      </x:c>
      <x:c r="J7" s="24" t="n">
        <x:f>IF(Dashboard!$B$5&gt;0,'Monthly Budget'!$Z$10/Dashboard!$B$5,0)</x:f>
        <x:v>75</x:v>
      </x:c>
      <x:c r="K7" s="24" t="n">
        <x:f>IF(Dashboard!$B$5&gt;0,'Monthly Budget'!$Z$11/Dashboard!$B$5,0)</x:f>
        <x:v>75</x:v>
      </x:c>
      <x:c r="L7" s="24" t="n">
        <x:f>IF(Dashboard!$B$5&gt;0,'Monthly Budget'!$Z$12/Dashboard!$B$5,0)</x:f>
        <x:v>37.5</x:v>
      </x:c>
      <x:c r="M7" s="24" t="n">
        <x:v>0</x:v>
      </x:c>
      <x:c r="N7" s="24" t="n">
        <x:v>0</x:v>
      </x:c>
      <x:c r="O7" s="24" t="n">
        <x:v>0</x:v>
      </x:c>
      <x:c r="P7" s="24" t="n">
        <x:f>MAX(0,C7-M7-N7-O7)</x:f>
        <x:v>2250</x:v>
      </x:c>
      <x:c r="Q7" t="str">
        <x:f>IF(P7=0,"PAID IN FULL",IF(N7+M7+O7&gt;0,"CURRENT","DUE"))</x:f>
        <x:v>DUE</x:v>
      </x:c>
    </x:row>
    <x:row r="8">
      <x:c r="A8" t="str">
        <x:v>Player 5</x:v>
      </x:c>
      <x:c r="B8" t="str">
        <x:v>Team A</x:v>
      </x:c>
      <x:c r="C8" s="24" t="n">
        <x:f>Dashboard!$B$18</x:f>
        <x:v>2250</x:v>
      </x:c>
      <x:c r="D8" s="24" t="n">
        <x:f>IF(Dashboard!$B$5&gt;0,'Monthly Budget'!$Z$4/Dashboard!$B$5,0)</x:f>
        <x:v>600</x:v>
      </x:c>
      <x:c r="E8" s="24" t="n">
        <x:f>IF(Dashboard!$B$5&gt;0,'Monthly Budget'!$Z$5/Dashboard!$B$5,0)</x:f>
        <x:v>600</x:v>
      </x:c>
      <x:c r="F8" s="24" t="n">
        <x:f>IF(Dashboard!$B$5&gt;0,'Monthly Budget'!$Z$6/Dashboard!$B$5,0)</x:f>
        <x:v>150</x:v>
      </x:c>
      <x:c r="G8" s="24" t="n">
        <x:f>IF(Dashboard!$B$5&gt;0,'Monthly Budget'!$Z$7/Dashboard!$B$5,0)</x:f>
        <x:v>450</x:v>
      </x:c>
      <x:c r="H8" s="24" t="n">
        <x:f>IF(Dashboard!$B$5&gt;0,'Monthly Budget'!$Z$8/Dashboard!$B$5,0)</x:f>
        <x:v>150</x:v>
      </x:c>
      <x:c r="I8" s="24" t="n">
        <x:f>IF(Dashboard!$B$5&gt;0,'Monthly Budget'!$Z$9/Dashboard!$B$5,0)</x:f>
        <x:v>112.5</x:v>
      </x:c>
      <x:c r="J8" s="24" t="n">
        <x:f>IF(Dashboard!$B$5&gt;0,'Monthly Budget'!$Z$10/Dashboard!$B$5,0)</x:f>
        <x:v>75</x:v>
      </x:c>
      <x:c r="K8" s="24" t="n">
        <x:f>IF(Dashboard!$B$5&gt;0,'Monthly Budget'!$Z$11/Dashboard!$B$5,0)</x:f>
        <x:v>75</x:v>
      </x:c>
      <x:c r="L8" s="24" t="n">
        <x:f>IF(Dashboard!$B$5&gt;0,'Monthly Budget'!$Z$12/Dashboard!$B$5,0)</x:f>
        <x:v>37.5</x:v>
      </x:c>
      <x:c r="M8" s="24" t="n">
        <x:v>0</x:v>
      </x:c>
      <x:c r="N8" s="24" t="n">
        <x:v>0</x:v>
      </x:c>
      <x:c r="O8" s="24" t="n">
        <x:v>0</x:v>
      </x:c>
      <x:c r="P8" s="24" t="n">
        <x:f>MAX(0,C8-M8-N8-O8)</x:f>
        <x:v>2250</x:v>
      </x:c>
      <x:c r="Q8" t="str">
        <x:f>IF(P8=0,"PAID IN FULL",IF(N8+M8+O8&gt;0,"CURRENT","DUE"))</x:f>
        <x:v>DUE</x:v>
      </x:c>
    </x:row>
    <x:row r="9">
      <x:c r="A9" t="str">
        <x:v>Player 6</x:v>
      </x:c>
      <x:c r="B9" t="str">
        <x:v>Team A</x:v>
      </x:c>
      <x:c r="C9" s="24" t="n">
        <x:f>Dashboard!$B$18</x:f>
        <x:v>2250</x:v>
      </x:c>
      <x:c r="D9" s="24" t="n">
        <x:f>IF(Dashboard!$B$5&gt;0,'Monthly Budget'!$Z$4/Dashboard!$B$5,0)</x:f>
        <x:v>600</x:v>
      </x:c>
      <x:c r="E9" s="24" t="n">
        <x:f>IF(Dashboard!$B$5&gt;0,'Monthly Budget'!$Z$5/Dashboard!$B$5,0)</x:f>
        <x:v>600</x:v>
      </x:c>
      <x:c r="F9" s="24" t="n">
        <x:f>IF(Dashboard!$B$5&gt;0,'Monthly Budget'!$Z$6/Dashboard!$B$5,0)</x:f>
        <x:v>150</x:v>
      </x:c>
      <x:c r="G9" s="24" t="n">
        <x:f>IF(Dashboard!$B$5&gt;0,'Monthly Budget'!$Z$7/Dashboard!$B$5,0)</x:f>
        <x:v>450</x:v>
      </x:c>
      <x:c r="H9" s="24" t="n">
        <x:f>IF(Dashboard!$B$5&gt;0,'Monthly Budget'!$Z$8/Dashboard!$B$5,0)</x:f>
        <x:v>150</x:v>
      </x:c>
      <x:c r="I9" s="24" t="n">
        <x:f>IF(Dashboard!$B$5&gt;0,'Monthly Budget'!$Z$9/Dashboard!$B$5,0)</x:f>
        <x:v>112.5</x:v>
      </x:c>
      <x:c r="J9" s="24" t="n">
        <x:f>IF(Dashboard!$B$5&gt;0,'Monthly Budget'!$Z$10/Dashboard!$B$5,0)</x:f>
        <x:v>75</x:v>
      </x:c>
      <x:c r="K9" s="24" t="n">
        <x:f>IF(Dashboard!$B$5&gt;0,'Monthly Budget'!$Z$11/Dashboard!$B$5,0)</x:f>
        <x:v>75</x:v>
      </x:c>
      <x:c r="L9" s="24" t="n">
        <x:f>IF(Dashboard!$B$5&gt;0,'Monthly Budget'!$Z$12/Dashboard!$B$5,0)</x:f>
        <x:v>37.5</x:v>
      </x:c>
      <x:c r="M9" s="24" t="n">
        <x:v>0</x:v>
      </x:c>
      <x:c r="N9" s="24" t="n">
        <x:v>0</x:v>
      </x:c>
      <x:c r="O9" s="24" t="n">
        <x:v>0</x:v>
      </x:c>
      <x:c r="P9" s="24" t="n">
        <x:f>MAX(0,C9-M9-N9-O9)</x:f>
        <x:v>2250</x:v>
      </x:c>
      <x:c r="Q9" t="str">
        <x:f>IF(P9=0,"PAID IN FULL",IF(N9+M9+O9&gt;0,"CURRENT","DUE"))</x:f>
        <x:v>DUE</x:v>
      </x:c>
    </x:row>
    <x:row r="10">
      <x:c r="A10" t="str">
        <x:v>Player 7</x:v>
      </x:c>
      <x:c r="B10" t="str">
        <x:v>Team A</x:v>
      </x:c>
      <x:c r="C10" s="24" t="n">
        <x:f>Dashboard!$B$18</x:f>
        <x:v>2250</x:v>
      </x:c>
      <x:c r="D10" s="24" t="n">
        <x:f>IF(Dashboard!$B$5&gt;0,'Monthly Budget'!$Z$4/Dashboard!$B$5,0)</x:f>
        <x:v>600</x:v>
      </x:c>
      <x:c r="E10" s="24" t="n">
        <x:f>IF(Dashboard!$B$5&gt;0,'Monthly Budget'!$Z$5/Dashboard!$B$5,0)</x:f>
        <x:v>600</x:v>
      </x:c>
      <x:c r="F10" s="24" t="n">
        <x:f>IF(Dashboard!$B$5&gt;0,'Monthly Budget'!$Z$6/Dashboard!$B$5,0)</x:f>
        <x:v>150</x:v>
      </x:c>
      <x:c r="G10" s="24" t="n">
        <x:f>IF(Dashboard!$B$5&gt;0,'Monthly Budget'!$Z$7/Dashboard!$B$5,0)</x:f>
        <x:v>450</x:v>
      </x:c>
      <x:c r="H10" s="24" t="n">
        <x:f>IF(Dashboard!$B$5&gt;0,'Monthly Budget'!$Z$8/Dashboard!$B$5,0)</x:f>
        <x:v>150</x:v>
      </x:c>
      <x:c r="I10" s="24" t="n">
        <x:f>IF(Dashboard!$B$5&gt;0,'Monthly Budget'!$Z$9/Dashboard!$B$5,0)</x:f>
        <x:v>112.5</x:v>
      </x:c>
      <x:c r="J10" s="24" t="n">
        <x:f>IF(Dashboard!$B$5&gt;0,'Monthly Budget'!$Z$10/Dashboard!$B$5,0)</x:f>
        <x:v>75</x:v>
      </x:c>
      <x:c r="K10" s="24" t="n">
        <x:f>IF(Dashboard!$B$5&gt;0,'Monthly Budget'!$Z$11/Dashboard!$B$5,0)</x:f>
        <x:v>75</x:v>
      </x:c>
      <x:c r="L10" s="24" t="n">
        <x:f>IF(Dashboard!$B$5&gt;0,'Monthly Budget'!$Z$12/Dashboard!$B$5,0)</x:f>
        <x:v>37.5</x:v>
      </x:c>
      <x:c r="M10" s="24" t="n">
        <x:v>0</x:v>
      </x:c>
      <x:c r="N10" s="24" t="n">
        <x:v>0</x:v>
      </x:c>
      <x:c r="O10" s="24" t="n">
        <x:v>0</x:v>
      </x:c>
      <x:c r="P10" s="24" t="n">
        <x:f>MAX(0,C10-M10-N10-O10)</x:f>
        <x:v>2250</x:v>
      </x:c>
      <x:c r="Q10" t="str">
        <x:f>IF(P10=0,"PAID IN FULL",IF(N10+M10+O10&gt;0,"CURRENT","DUE"))</x:f>
        <x:v>DUE</x:v>
      </x:c>
    </x:row>
    <x:row r="11">
      <x:c r="A11" t="str">
        <x:v>Player 8</x:v>
      </x:c>
      <x:c r="B11" t="str">
        <x:v>Team A</x:v>
      </x:c>
      <x:c r="C11" s="24" t="n">
        <x:f>Dashboard!$B$18</x:f>
        <x:v>2250</x:v>
      </x:c>
      <x:c r="D11" s="24" t="n">
        <x:f>IF(Dashboard!$B$5&gt;0,'Monthly Budget'!$Z$4/Dashboard!$B$5,0)</x:f>
        <x:v>600</x:v>
      </x:c>
      <x:c r="E11" s="24" t="n">
        <x:f>IF(Dashboard!$B$5&gt;0,'Monthly Budget'!$Z$5/Dashboard!$B$5,0)</x:f>
        <x:v>600</x:v>
      </x:c>
      <x:c r="F11" s="24" t="n">
        <x:f>IF(Dashboard!$B$5&gt;0,'Monthly Budget'!$Z$6/Dashboard!$B$5,0)</x:f>
        <x:v>150</x:v>
      </x:c>
      <x:c r="G11" s="24" t="n">
        <x:f>IF(Dashboard!$B$5&gt;0,'Monthly Budget'!$Z$7/Dashboard!$B$5,0)</x:f>
        <x:v>450</x:v>
      </x:c>
      <x:c r="H11" s="24" t="n">
        <x:f>IF(Dashboard!$B$5&gt;0,'Monthly Budget'!$Z$8/Dashboard!$B$5,0)</x:f>
        <x:v>150</x:v>
      </x:c>
      <x:c r="I11" s="24" t="n">
        <x:f>IF(Dashboard!$B$5&gt;0,'Monthly Budget'!$Z$9/Dashboard!$B$5,0)</x:f>
        <x:v>112.5</x:v>
      </x:c>
      <x:c r="J11" s="24" t="n">
        <x:f>IF(Dashboard!$B$5&gt;0,'Monthly Budget'!$Z$10/Dashboard!$B$5,0)</x:f>
        <x:v>75</x:v>
      </x:c>
      <x:c r="K11" s="24" t="n">
        <x:f>IF(Dashboard!$B$5&gt;0,'Monthly Budget'!$Z$11/Dashboard!$B$5,0)</x:f>
        <x:v>75</x:v>
      </x:c>
      <x:c r="L11" s="24" t="n">
        <x:f>IF(Dashboard!$B$5&gt;0,'Monthly Budget'!$Z$12/Dashboard!$B$5,0)</x:f>
        <x:v>37.5</x:v>
      </x:c>
      <x:c r="M11" s="24" t="n">
        <x:v>0</x:v>
      </x:c>
      <x:c r="N11" s="24" t="n">
        <x:v>0</x:v>
      </x:c>
      <x:c r="O11" s="24" t="n">
        <x:v>0</x:v>
      </x:c>
      <x:c r="P11" s="24" t="n">
        <x:f>MAX(0,C11-M11-N11-O11)</x:f>
        <x:v>2250</x:v>
      </x:c>
      <x:c r="Q11" t="str">
        <x:f>IF(P11=0,"PAID IN FULL",IF(N11+M11+O11&gt;0,"CURRENT","DUE"))</x:f>
        <x:v>DUE</x:v>
      </x:c>
    </x:row>
    <x:row r="12"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</x:row>
    <x:row r="13">
      <x:c r="A13" t="str">
        <x:v>TOTAL</x:v>
      </x:c>
      <x:c r="C13" s="24" t="n">
        <x:f>SUM(C4:C11)</x:f>
        <x:v>18000</x:v>
      </x:c>
      <x:c r="D13" s="24" t="n">
        <x:f>SUM(D4:D11)</x:f>
        <x:v>4800</x:v>
      </x:c>
      <x:c r="E13" s="24" t="n">
        <x:f>SUM(E4:E11)</x:f>
        <x:v>4800</x:v>
      </x:c>
      <x:c r="F13" s="24" t="n">
        <x:f>SUM(F4:F11)</x:f>
        <x:v>1200</x:v>
      </x:c>
      <x:c r="G13" s="24" t="n">
        <x:f>SUM(G4:G11)</x:f>
        <x:v>3600</x:v>
      </x:c>
      <x:c r="H13" s="24" t="n">
        <x:f>SUM(H4:H11)</x:f>
        <x:v>1200</x:v>
      </x:c>
      <x:c r="I13" s="24" t="n">
        <x:f>SUM(I4:I11)</x:f>
        <x:v>900</x:v>
      </x:c>
      <x:c r="J13" s="24" t="n">
        <x:f>SUM(J4:J11)</x:f>
        <x:v>600</x:v>
      </x:c>
      <x:c r="K13" s="24" t="n">
        <x:f>SUM(K4:K11)</x:f>
        <x:v>600</x:v>
      </x:c>
      <x:c r="L13" s="24" t="n">
        <x:f>SUM(L4:L11)</x:f>
        <x:v>300</x:v>
      </x:c>
      <x:c r="M13" s="24" t="n">
        <x:f>SUM(M4:M11)</x:f>
        <x:v>0</x:v>
      </x:c>
      <x:c r="N13" s="24" t="n">
        <x:f>SUM(N4:N11)</x:f>
        <x:v>0</x:v>
      </x:c>
      <x:c r="O13" s="24" t="n">
        <x:f>SUM(O4:O11)</x:f>
        <x:v>0</x:v>
      </x:c>
      <x:c r="P13" s="24" t="n">
        <x:f>SUM(P4:P11)</x:f>
        <x:v>18000</x:v>
      </x:c>
    </x:row>
  </x:sheetData>
  <x:mergeCells>
    <x:mergeCell ref="A1:Q1"/>
  </x:mergeCells>
  <x:conditionalFormatting sqref="Q4:Q100">
    <x:cfRule type="expression" dxfId="3" priority="1">
      <x:formula>Q4="PAID IN FULL"</x:formula>
    </x:cfRule>
    <x:cfRule type="expression" dxfId="4" priority="2">
      <x:formula>Q4="CURRENT"</x:formula>
    </x:cfRule>
    <x:cfRule type="expression" dxfId="5" priority="3">
      <x:formula>Q4="DUE"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20" hidden="0" customWidth="1"/>
    <x:col min="9" max="9" width="20" hidden="0" customWidth="1"/>
  </x:cols>
  <x:sheetData>
    <x:row r="1">
      <x:c r="A1" s="36" t="str">
        <x:v>Team &amp; Player Donations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3">
      <x:c r="A3" s="41" t="str">
        <x:v>Date</x:v>
      </x:c>
      <x:c r="B3" s="41" t="str">
        <x:v>Donor</x:v>
      </x:c>
      <x:c r="C3" s="41" t="str">
        <x:v>Donation Type</x:v>
      </x:c>
      <x:c r="D3" s="41" t="str">
        <x:v>Team</x:v>
      </x:c>
      <x:c r="E3" s="41" t="str">
        <x:v>Player</x:v>
      </x:c>
      <x:c r="F3" s="41" t="str">
        <x:v>Amount</x:v>
      </x:c>
      <x:c r="G3" s="41" t="str">
        <x:v>Applied To</x:v>
      </x:c>
      <x:c r="H3" s="41" t="str">
        <x:v>Reference</x:v>
      </x:c>
      <x:c r="I3" s="41" t="str">
        <x:v>Notes</x:v>
      </x:c>
      <x:c r="J3" s="41" t="str">
        <x:v>Remaining Unallocated</x:v>
      </x:c>
    </x:row>
    <x:row r="4">
      <x:c r="A4" t="str"/>
      <x:c r="B4" t="str"/>
      <x:c r="C4" t="str">
        <x:v>Team</x:v>
      </x:c>
      <x:c r="D4" t="str">
        <x:v>Team A</x:v>
      </x:c>
      <x:c r="E4" t="str"/>
      <x:c r="F4" s="24" t="n">
        <x:v>0</x:v>
      </x:c>
      <x:c r="G4" s="24" t="str">
        <x:v>Team Budget</x:v>
      </x:c>
      <x:c r="H4" s="24" t="str"/>
      <x:c r="I4" s="24" t="str"/>
      <x:c r="J4" s="24" t="n">
        <x:f>F4</x:f>
        <x:v>0</x:v>
      </x:c>
    </x:row>
    <x:row r="5">
      <x:c r="A5" t="str"/>
      <x:c r="B5" t="str"/>
      <x:c r="C5" t="str">
        <x:v>Player</x:v>
      </x:c>
      <x:c r="D5" t="str">
        <x:v>Team A</x:v>
      </x:c>
      <x:c r="E5" t="str">
        <x:v>Player 1</x:v>
      </x:c>
      <x:c r="F5" s="24" t="n">
        <x:v>0</x:v>
      </x:c>
      <x:c r="G5" s="24" t="str">
        <x:v>Player Cost</x:v>
      </x:c>
      <x:c r="H5" s="24" t="str"/>
      <x:c r="I5" s="24" t="str"/>
      <x:c r="J5" s="24" t="n">
        <x:f>F5</x:f>
        <x:v>0</x:v>
      </x:c>
    </x:row>
    <x:row r="6">
      <x:c r="A6" t="str"/>
      <x:c r="B6" t="str"/>
      <x:c r="C6" t="str">
        <x:v>Team</x:v>
      </x:c>
      <x:c r="D6" t="str">
        <x:v>Team A</x:v>
      </x:c>
      <x:c r="E6" t="str"/>
      <x:c r="F6" s="24" t="n">
        <x:v>0</x:v>
      </x:c>
      <x:c r="G6" s="24" t="str">
        <x:v>Court Rental</x:v>
      </x:c>
      <x:c r="H6" s="24" t="str"/>
      <x:c r="I6" s="24" t="str"/>
      <x:c r="J6" s="24" t="n">
        <x:f>F6</x:f>
        <x:v>0</x:v>
      </x:c>
    </x:row>
    <x:row r="7">
      <x:c r="A7" t="str"/>
      <x:c r="B7" t="str"/>
      <x:c r="C7" t="str">
        <x:v>Team</x:v>
      </x:c>
      <x:c r="D7" t="str">
        <x:v>Team A</x:v>
      </x:c>
      <x:c r="E7" t="str"/>
      <x:c r="F7" s="24" t="n">
        <x:v>0</x:v>
      </x:c>
      <x:c r="G7" s="24" t="str">
        <x:v>Tournament Fees</x:v>
      </x:c>
      <x:c r="H7" s="24" t="str"/>
      <x:c r="I7" s="24" t="str"/>
      <x:c r="J7" s="24" t="n">
        <x:f>F7</x:f>
        <x:v>0</x:v>
      </x:c>
    </x:row>
    <x:row r="8">
      <x:c r="A8" t="str"/>
      <x:c r="B8" t="str"/>
      <x:c r="C8" t="str">
        <x:v>Player</x:v>
      </x:c>
      <x:c r="D8" t="str">
        <x:v>Team A</x:v>
      </x:c>
      <x:c r="E8" t="str">
        <x:v>Player 2</x:v>
      </x:c>
      <x:c r="F8" s="24" t="n">
        <x:v>0</x:v>
      </x:c>
      <x:c r="G8" s="24" t="str">
        <x:v>Player Cost</x:v>
      </x:c>
      <x:c r="H8" s="24" t="str"/>
      <x:c r="I8" s="24" t="str"/>
      <x:c r="J8" s="24" t="n">
        <x:f>F8</x:f>
        <x:v>0</x:v>
      </x:c>
    </x:row>
    <x:row r="9">
      <x:c r="A9" t="str"/>
      <x:c r="B9" t="str"/>
      <x:c r="C9" t="str">
        <x:v>Team</x:v>
      </x:c>
      <x:c r="D9" t="str">
        <x:v>Team A</x:v>
      </x:c>
      <x:c r="E9" t="str"/>
      <x:c r="F9" s="24" t="n">
        <x:v>0</x:v>
      </x:c>
      <x:c r="G9" s="24" t="str">
        <x:v>General</x:v>
      </x:c>
      <x:c r="H9" s="24" t="str"/>
      <x:c r="I9" s="24" t="str"/>
      <x:c r="J9" s="24" t="n">
        <x:f>F9</x:f>
        <x:v>0</x:v>
      </x:c>
    </x:row>
    <x:row r="10">
      <x:c r="F10" s="24"/>
      <x:c r="G10" s="24"/>
      <x:c r="H10" s="24"/>
      <x:c r="I10" s="24"/>
      <x:c r="J10" s="24"/>
    </x:row>
    <x:row r="11">
      <x:c r="F11" s="24"/>
      <x:c r="G11" s="24"/>
      <x:c r="H11" s="24"/>
      <x:c r="I11" s="24"/>
      <x:c r="J11" s="24"/>
    </x:row>
    <x:row r="12">
      <x:c r="F12" s="24"/>
      <x:c r="G12" s="24"/>
      <x:c r="H12" s="24"/>
      <x:c r="I12" s="24"/>
      <x:c r="J12" s="24"/>
    </x:row>
    <x:row r="13">
      <x:c r="F13" s="24"/>
      <x:c r="G13" s="24"/>
      <x:c r="H13" s="24"/>
      <x:c r="I13" s="24"/>
      <x:c r="J13" s="24"/>
    </x:row>
    <x:row r="14">
      <x:c r="F14" s="24"/>
      <x:c r="G14" s="24"/>
      <x:c r="H14" s="24"/>
      <x:c r="I14" s="24"/>
      <x:c r="J14" s="24"/>
    </x:row>
    <x:row r="15">
      <x:c r="F15" s="24"/>
      <x:c r="G15" s="24"/>
      <x:c r="H15" s="24"/>
      <x:c r="I15" s="24"/>
      <x:c r="J15" s="24"/>
    </x:row>
    <x:row r="16">
      <x:c r="F16" s="24"/>
      <x:c r="G16" s="24"/>
      <x:c r="H16" s="24"/>
      <x:c r="I16" s="24"/>
      <x:c r="J16" s="24"/>
    </x:row>
    <x:row r="17">
      <x:c r="F17" s="24"/>
      <x:c r="G17" s="24"/>
      <x:c r="H17" s="24"/>
      <x:c r="I17" s="24"/>
      <x:c r="J17" s="24"/>
    </x:row>
    <x:row r="18">
      <x:c r="F18" s="24"/>
      <x:c r="G18" s="24"/>
      <x:c r="H18" s="24"/>
      <x:c r="I18" s="24"/>
      <x:c r="J18" s="24"/>
    </x:row>
    <x:row r="19">
      <x:c r="F19" s="24"/>
      <x:c r="G19" s="24"/>
      <x:c r="H19" s="24"/>
      <x:c r="I19" s="24"/>
      <x:c r="J19" s="24"/>
    </x:row>
    <x:row r="20">
      <x:c r="F20" s="24"/>
      <x:c r="G20" s="24"/>
      <x:c r="H20" s="24"/>
      <x:c r="I20" s="24"/>
      <x:c r="J20" s="24"/>
    </x:row>
    <x:row r="21">
      <x:c r="F21" s="24"/>
      <x:c r="G21" s="24"/>
      <x:c r="H21" s="24"/>
      <x:c r="I21" s="24"/>
      <x:c r="J21" s="24"/>
    </x:row>
    <x:row r="22">
      <x:c r="F22" s="24"/>
      <x:c r="G22" s="24"/>
      <x:c r="H22" s="24"/>
      <x:c r="I22" s="24"/>
      <x:c r="J22" s="24"/>
    </x:row>
    <x:row r="23">
      <x:c r="F23" s="24"/>
      <x:c r="G23" s="24"/>
      <x:c r="H23" s="24"/>
      <x:c r="I23" s="24"/>
      <x:c r="J23" s="24"/>
    </x:row>
    <x:row r="24">
      <x:c r="F24" s="24"/>
      <x:c r="G24" s="24"/>
      <x:c r="H24" s="24"/>
      <x:c r="I24" s="24"/>
      <x:c r="J24" s="24"/>
    </x:row>
    <x:row r="25">
      <x:c r="F25" s="24"/>
      <x:c r="G25" s="24"/>
      <x:c r="H25" s="24"/>
      <x:c r="I25" s="24"/>
      <x:c r="J25" s="24"/>
    </x:row>
    <x:row r="26">
      <x:c r="F26" s="24"/>
      <x:c r="G26" s="24"/>
      <x:c r="H26" s="24"/>
      <x:c r="I26" s="24"/>
      <x:c r="J26" s="24"/>
    </x:row>
    <x:row r="27">
      <x:c r="F27" s="24"/>
      <x:c r="G27" s="24"/>
      <x:c r="H27" s="24"/>
      <x:c r="I27" s="24"/>
      <x:c r="J27" s="24"/>
    </x:row>
    <x:row r="28">
      <x:c r="F28" s="24"/>
      <x:c r="G28" s="24"/>
      <x:c r="H28" s="24"/>
      <x:c r="I28" s="24"/>
      <x:c r="J28" s="24"/>
    </x:row>
    <x:row r="29">
      <x:c r="F29" s="24"/>
      <x:c r="G29" s="24"/>
      <x:c r="H29" s="24"/>
      <x:c r="I29" s="24"/>
      <x:c r="J29" s="24"/>
    </x:row>
    <x:row r="30">
      <x:c r="F30" s="24"/>
      <x:c r="G30" s="24"/>
      <x:c r="H30" s="24"/>
      <x:c r="I30" s="24"/>
      <x:c r="J30" s="24"/>
    </x:row>
    <x:row r="31">
      <x:c r="F31" s="24"/>
      <x:c r="G31" s="24"/>
      <x:c r="H31" s="24"/>
      <x:c r="I31" s="24"/>
      <x:c r="J31" s="24"/>
    </x:row>
    <x:row r="32">
      <x:c r="F32" s="24"/>
      <x:c r="G32" s="24"/>
      <x:c r="H32" s="24"/>
      <x:c r="I32" s="24"/>
      <x:c r="J32" s="24"/>
    </x:row>
    <x:row r="33">
      <x:c r="F33" s="24"/>
      <x:c r="G33" s="24"/>
      <x:c r="H33" s="24"/>
      <x:c r="I33" s="24"/>
      <x:c r="J33" s="24"/>
    </x:row>
    <x:row r="34">
      <x:c r="F34" s="24"/>
      <x:c r="G34" s="24"/>
      <x:c r="H34" s="24"/>
      <x:c r="I34" s="24"/>
      <x:c r="J34" s="24"/>
    </x:row>
    <x:row r="35">
      <x:c r="F35" s="24"/>
      <x:c r="G35" s="24"/>
      <x:c r="H35" s="24"/>
      <x:c r="I35" s="24"/>
      <x:c r="J35" s="24"/>
    </x:row>
    <x:row r="36">
      <x:c r="F36" s="24"/>
      <x:c r="G36" s="24"/>
      <x:c r="H36" s="24"/>
      <x:c r="I36" s="24"/>
      <x:c r="J36" s="24"/>
    </x:row>
    <x:row r="37">
      <x:c r="F37" s="24"/>
      <x:c r="G37" s="24"/>
      <x:c r="H37" s="24"/>
      <x:c r="I37" s="24"/>
      <x:c r="J37" s="24"/>
    </x:row>
    <x:row r="38">
      <x:c r="F38" s="24"/>
      <x:c r="G38" s="24"/>
      <x:c r="H38" s="24"/>
      <x:c r="I38" s="24"/>
      <x:c r="J38" s="24"/>
    </x:row>
    <x:row r="39">
      <x:c r="F39" s="24"/>
      <x:c r="G39" s="24"/>
      <x:c r="H39" s="24"/>
      <x:c r="I39" s="24"/>
      <x:c r="J39" s="24"/>
    </x:row>
    <x:row r="40">
      <x:c r="F40" s="24"/>
      <x:c r="G40" s="24"/>
      <x:c r="H40" s="24"/>
      <x:c r="I40" s="24"/>
      <x:c r="J40" s="24"/>
    </x:row>
    <x:row r="41">
      <x:c r="F41" s="24"/>
      <x:c r="G41" s="24"/>
      <x:c r="H41" s="24"/>
      <x:c r="I41" s="24"/>
      <x:c r="J41" s="24"/>
    </x:row>
    <x:row r="42">
      <x:c r="F42" s="24"/>
      <x:c r="G42" s="24"/>
      <x:c r="H42" s="24"/>
      <x:c r="I42" s="24"/>
      <x:c r="J42" s="24"/>
    </x:row>
    <x:row r="43">
      <x:c r="F43" s="24"/>
      <x:c r="G43" s="24"/>
      <x:c r="H43" s="24"/>
      <x:c r="I43" s="24"/>
      <x:c r="J43" s="24"/>
    </x:row>
    <x:row r="44">
      <x:c r="F44" s="24"/>
      <x:c r="G44" s="24"/>
      <x:c r="H44" s="24"/>
      <x:c r="I44" s="24"/>
      <x:c r="J44" s="24"/>
    </x:row>
    <x:row r="45">
      <x:c r="F45" s="24"/>
      <x:c r="G45" s="24"/>
      <x:c r="H45" s="24"/>
      <x:c r="I45" s="24"/>
      <x:c r="J45" s="24"/>
    </x:row>
    <x:row r="46">
      <x:c r="F46" s="24"/>
      <x:c r="G46" s="24"/>
      <x:c r="H46" s="24"/>
      <x:c r="I46" s="24"/>
      <x:c r="J46" s="24"/>
    </x:row>
    <x:row r="47">
      <x:c r="F47" s="24"/>
      <x:c r="G47" s="24"/>
      <x:c r="H47" s="24"/>
      <x:c r="I47" s="24"/>
      <x:c r="J47" s="24"/>
    </x:row>
    <x:row r="48">
      <x:c r="F48" s="24"/>
      <x:c r="G48" s="24"/>
      <x:c r="H48" s="24"/>
      <x:c r="I48" s="24"/>
      <x:c r="J48" s="24"/>
    </x:row>
    <x:row r="49">
      <x:c r="F49" s="24"/>
      <x:c r="G49" s="24"/>
      <x:c r="H49" s="24"/>
      <x:c r="I49" s="24"/>
      <x:c r="J49" s="24"/>
    </x:row>
    <x:row r="50">
      <x:c r="F50" s="24"/>
      <x:c r="G50" s="24"/>
      <x:c r="H50" s="24"/>
      <x:c r="I50" s="24"/>
      <x:c r="J50" s="24"/>
    </x:row>
    <x:row r="51">
      <x:c r="F51" s="24"/>
      <x:c r="G51" s="24"/>
      <x:c r="H51" s="24"/>
      <x:c r="I51" s="24"/>
      <x:c r="J51" s="24"/>
    </x:row>
    <x:row r="52">
      <x:c r="F52" s="24"/>
      <x:c r="G52" s="24"/>
      <x:c r="H52" s="24"/>
      <x:c r="I52" s="24"/>
      <x:c r="J52" s="24"/>
    </x:row>
    <x:row r="53">
      <x:c r="F53" s="24"/>
      <x:c r="G53" s="24"/>
      <x:c r="H53" s="24"/>
      <x:c r="I53" s="24"/>
      <x:c r="J53" s="24"/>
    </x:row>
    <x:row r="54">
      <x:c r="F54" s="24"/>
      <x:c r="G54" s="24"/>
      <x:c r="H54" s="24"/>
      <x:c r="I54" s="24"/>
      <x:c r="J54" s="24"/>
    </x:row>
    <x:row r="55">
      <x:c r="F55" s="24"/>
      <x:c r="G55" s="24"/>
      <x:c r="H55" s="24"/>
      <x:c r="I55" s="24"/>
      <x:c r="J55" s="24"/>
    </x:row>
    <x:row r="56">
      <x:c r="F56" s="24"/>
      <x:c r="G56" s="24"/>
      <x:c r="H56" s="24"/>
      <x:c r="I56" s="24"/>
      <x:c r="J56" s="24"/>
    </x:row>
    <x:row r="57">
      <x:c r="F57" s="24"/>
      <x:c r="G57" s="24"/>
      <x:c r="H57" s="24"/>
      <x:c r="I57" s="24"/>
      <x:c r="J57" s="24"/>
    </x:row>
    <x:row r="58">
      <x:c r="F58" s="24"/>
      <x:c r="G58" s="24"/>
      <x:c r="H58" s="24"/>
      <x:c r="I58" s="24"/>
      <x:c r="J58" s="24"/>
    </x:row>
    <x:row r="59">
      <x:c r="F59" s="24"/>
      <x:c r="G59" s="24"/>
      <x:c r="H59" s="24"/>
      <x:c r="I59" s="24"/>
      <x:c r="J59" s="24"/>
    </x:row>
    <x:row r="60">
      <x:c r="F60" s="24"/>
      <x:c r="G60" s="24"/>
      <x:c r="H60" s="24"/>
      <x:c r="I60" s="24"/>
      <x:c r="J60" s="24"/>
    </x:row>
    <x:row r="61">
      <x:c r="F61" s="24"/>
      <x:c r="G61" s="24"/>
      <x:c r="H61" s="24"/>
      <x:c r="I61" s="24"/>
      <x:c r="J61" s="24"/>
    </x:row>
    <x:row r="62">
      <x:c r="F62" s="24"/>
      <x:c r="G62" s="24"/>
      <x:c r="H62" s="24"/>
      <x:c r="I62" s="24"/>
      <x:c r="J62" s="24"/>
    </x:row>
    <x:row r="63">
      <x:c r="F63" s="24"/>
      <x:c r="G63" s="24"/>
      <x:c r="H63" s="24"/>
      <x:c r="I63" s="24"/>
      <x:c r="J63" s="24"/>
    </x:row>
    <x:row r="64">
      <x:c r="F64" s="24"/>
      <x:c r="G64" s="24"/>
      <x:c r="H64" s="24"/>
      <x:c r="I64" s="24"/>
      <x:c r="J64" s="24"/>
    </x:row>
    <x:row r="65">
      <x:c r="F65" s="24"/>
      <x:c r="G65" s="24"/>
      <x:c r="H65" s="24"/>
      <x:c r="I65" s="24"/>
      <x:c r="J65" s="24"/>
    </x:row>
    <x:row r="66">
      <x:c r="F66" s="24"/>
      <x:c r="G66" s="24"/>
      <x:c r="H66" s="24"/>
      <x:c r="I66" s="24"/>
      <x:c r="J66" s="24"/>
    </x:row>
    <x:row r="67">
      <x:c r="F67" s="24"/>
      <x:c r="G67" s="24"/>
      <x:c r="H67" s="24"/>
      <x:c r="I67" s="24"/>
      <x:c r="J67" s="24"/>
    </x:row>
    <x:row r="68">
      <x:c r="F68" s="24"/>
      <x:c r="G68" s="24"/>
      <x:c r="H68" s="24"/>
      <x:c r="I68" s="24"/>
      <x:c r="J68" s="24"/>
    </x:row>
    <x:row r="69">
      <x:c r="F69" s="24"/>
      <x:c r="G69" s="24"/>
      <x:c r="H69" s="24"/>
      <x:c r="I69" s="24"/>
      <x:c r="J69" s="24"/>
    </x:row>
    <x:row r="70">
      <x:c r="F70" s="24"/>
      <x:c r="G70" s="24"/>
      <x:c r="H70" s="24"/>
      <x:c r="I70" s="24"/>
      <x:c r="J70" s="24"/>
    </x:row>
    <x:row r="71">
      <x:c r="F71" s="24"/>
      <x:c r="G71" s="24"/>
      <x:c r="H71" s="24"/>
      <x:c r="I71" s="24"/>
      <x:c r="J71" s="24"/>
    </x:row>
    <x:row r="72">
      <x:c r="F72" s="24"/>
      <x:c r="G72" s="24"/>
      <x:c r="H72" s="24"/>
      <x:c r="I72" s="24"/>
      <x:c r="J72" s="24"/>
    </x:row>
    <x:row r="73">
      <x:c r="F73" s="24"/>
      <x:c r="G73" s="24"/>
      <x:c r="H73" s="24"/>
      <x:c r="I73" s="24"/>
      <x:c r="J73" s="24"/>
    </x:row>
    <x:row r="74">
      <x:c r="F74" s="24"/>
      <x:c r="G74" s="24"/>
      <x:c r="H74" s="24"/>
      <x:c r="I74" s="24"/>
      <x:c r="J74" s="24"/>
    </x:row>
    <x:row r="75">
      <x:c r="F75" s="24"/>
      <x:c r="G75" s="24"/>
      <x:c r="H75" s="24"/>
      <x:c r="I75" s="24"/>
      <x:c r="J75" s="24"/>
    </x:row>
    <x:row r="76">
      <x:c r="F76" s="24"/>
      <x:c r="G76" s="24"/>
      <x:c r="H76" s="24"/>
      <x:c r="I76" s="24"/>
      <x:c r="J76" s="24"/>
    </x:row>
    <x:row r="77">
      <x:c r="F77" s="24"/>
      <x:c r="G77" s="24"/>
      <x:c r="H77" s="24"/>
      <x:c r="I77" s="24"/>
      <x:c r="J77" s="24"/>
    </x:row>
    <x:row r="78">
      <x:c r="F78" s="24"/>
      <x:c r="G78" s="24"/>
      <x:c r="H78" s="24"/>
      <x:c r="I78" s="24"/>
      <x:c r="J78" s="24"/>
    </x:row>
    <x:row r="79">
      <x:c r="F79" s="24"/>
      <x:c r="G79" s="24"/>
      <x:c r="H79" s="24"/>
      <x:c r="I79" s="24"/>
      <x:c r="J79" s="24"/>
    </x:row>
    <x:row r="80">
      <x:c r="F80" s="24"/>
      <x:c r="G80" s="24"/>
      <x:c r="H80" s="24"/>
      <x:c r="I80" s="24"/>
      <x:c r="J80" s="24"/>
    </x:row>
    <x:row r="81">
      <x:c r="F81" s="24"/>
      <x:c r="G81" s="24"/>
      <x:c r="H81" s="24"/>
      <x:c r="I81" s="24"/>
      <x:c r="J81" s="24"/>
    </x:row>
    <x:row r="82">
      <x:c r="F82" s="24"/>
      <x:c r="G82" s="24"/>
      <x:c r="H82" s="24"/>
      <x:c r="I82" s="24"/>
      <x:c r="J82" s="24"/>
    </x:row>
    <x:row r="83">
      <x:c r="F83" s="24"/>
      <x:c r="G83" s="24"/>
      <x:c r="H83" s="24"/>
      <x:c r="I83" s="24"/>
      <x:c r="J83" s="24"/>
    </x:row>
    <x:row r="84">
      <x:c r="F84" s="24"/>
      <x:c r="G84" s="24"/>
      <x:c r="H84" s="24"/>
      <x:c r="I84" s="24"/>
      <x:c r="J84" s="24"/>
    </x:row>
    <x:row r="85">
      <x:c r="F85" s="24"/>
      <x:c r="G85" s="24"/>
      <x:c r="H85" s="24"/>
      <x:c r="I85" s="24"/>
      <x:c r="J85" s="24"/>
    </x:row>
    <x:row r="86">
      <x:c r="F86" s="24"/>
      <x:c r="G86" s="24"/>
      <x:c r="H86" s="24"/>
      <x:c r="I86" s="24"/>
      <x:c r="J86" s="24"/>
    </x:row>
    <x:row r="87">
      <x:c r="F87" s="24"/>
      <x:c r="G87" s="24"/>
      <x:c r="H87" s="24"/>
      <x:c r="I87" s="24"/>
      <x:c r="J87" s="24"/>
    </x:row>
    <x:row r="88">
      <x:c r="F88" s="24"/>
      <x:c r="G88" s="24"/>
      <x:c r="H88" s="24"/>
      <x:c r="I88" s="24"/>
      <x:c r="J88" s="24"/>
    </x:row>
    <x:row r="89">
      <x:c r="F89" s="24"/>
      <x:c r="G89" s="24"/>
      <x:c r="H89" s="24"/>
      <x:c r="I89" s="24"/>
      <x:c r="J89" s="24"/>
    </x:row>
    <x:row r="90">
      <x:c r="F90" s="24"/>
      <x:c r="G90" s="24"/>
      <x:c r="H90" s="24"/>
      <x:c r="I90" s="24"/>
      <x:c r="J90" s="24"/>
    </x:row>
    <x:row r="91">
      <x:c r="F91" s="24"/>
      <x:c r="G91" s="24"/>
      <x:c r="H91" s="24"/>
      <x:c r="I91" s="24"/>
      <x:c r="J91" s="24"/>
    </x:row>
    <x:row r="92">
      <x:c r="F92" s="24"/>
      <x:c r="G92" s="24"/>
      <x:c r="H92" s="24"/>
      <x:c r="I92" s="24"/>
      <x:c r="J92" s="24"/>
    </x:row>
    <x:row r="93">
      <x:c r="F93" s="24"/>
      <x:c r="G93" s="24"/>
      <x:c r="H93" s="24"/>
      <x:c r="I93" s="24"/>
      <x:c r="J93" s="24"/>
    </x:row>
    <x:row r="94">
      <x:c r="F94" s="24"/>
      <x:c r="G94" s="24"/>
      <x:c r="H94" s="24"/>
      <x:c r="I94" s="24"/>
      <x:c r="J94" s="24"/>
    </x:row>
    <x:row r="95">
      <x:c r="F95" s="24"/>
      <x:c r="G95" s="24"/>
      <x:c r="H95" s="24"/>
      <x:c r="I95" s="24"/>
      <x:c r="J95" s="24"/>
    </x:row>
    <x:row r="96">
      <x:c r="F96" s="24"/>
      <x:c r="G96" s="24"/>
      <x:c r="H96" s="24"/>
      <x:c r="I96" s="24"/>
      <x:c r="J96" s="24"/>
    </x:row>
    <x:row r="97">
      <x:c r="F97" s="24"/>
      <x:c r="G97" s="24"/>
      <x:c r="H97" s="24"/>
      <x:c r="I97" s="24"/>
      <x:c r="J97" s="24"/>
    </x:row>
    <x:row r="98">
      <x:c r="F98" s="24"/>
      <x:c r="G98" s="24"/>
      <x:c r="H98" s="24"/>
      <x:c r="I98" s="24"/>
      <x:c r="J98" s="24"/>
    </x:row>
    <x:row r="99">
      <x:c r="F99" s="24"/>
      <x:c r="G99" s="24"/>
      <x:c r="H99" s="24"/>
      <x:c r="I99" s="24"/>
      <x:c r="J99" s="24"/>
    </x:row>
    <x:row r="100">
      <x:c r="F100" s="24"/>
      <x:c r="G100" s="24"/>
      <x:c r="H100" s="24"/>
      <x:c r="I100" s="24"/>
      <x:c r="J100" s="24"/>
    </x:row>
  </x:sheetData>
  <x:mergeCells>
    <x:mergeCell ref="A1:J1"/>
  </x:mergeCells>
  <x:dataValidations count="2">
    <x:dataValidation type="list" sqref="C4:C100">
      <x:formula1>"Team,Player"</x:formula1>
    </x:dataValidation>
    <x:dataValidation type="list" sqref="G4:G100">
      <x:formula1>"Team Budget,Player Cost,Court Rental,Tournament Fees,Travel,Uniforms,General"</x:formula1>
    </x:dataValidation>
  </x:dataValidations>
  <x:pageMargins left="0.7" right="0.7" top="0.75" bottom="0.75" header="0.3" footer="0.3"/>
</x:worksheet>
</file>